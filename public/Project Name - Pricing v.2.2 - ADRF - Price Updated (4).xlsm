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6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rtongaussconsulting.sharepoint.com/sites/pmo/Shared Documents/NAR/Boingo/PJT00009_ Boingo ROM Automation Project/SalesHub 2.0/2.- Pricing/"/>
    </mc:Choice>
  </mc:AlternateContent>
  <xr:revisionPtr revIDLastSave="0" documentId="8_{8D68B222-063A-4486-9784-EEEFBDEBA2AE}" xr6:coauthVersionLast="47" xr6:coauthVersionMax="47" xr10:uidLastSave="{00000000-0000-0000-0000-000000000000}"/>
  <bookViews>
    <workbookView xWindow="-110" yWindow="-110" windowWidth="25820" windowHeight="15500" tabRatio="868" firstSheet="2" activeTab="2" xr2:uid="{00000000-000D-0000-FFFF-FFFF00000000}"/>
  </bookViews>
  <sheets>
    <sheet name=" SIZE " sheetId="42" r:id="rId1"/>
    <sheet name="ERCES" sheetId="43" r:id="rId2"/>
    <sheet name=" CELLULAR DAS " sheetId="44" r:id="rId3"/>
  </sheets>
  <definedNames>
    <definedName name="_xleta.ROUND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42" l="1"/>
  <c r="D29" i="42"/>
  <c r="D13" i="42"/>
  <c r="I6" i="44"/>
  <c r="I38" i="44"/>
  <c r="I15" i="44"/>
  <c r="I31" i="44"/>
  <c r="I22" i="43"/>
  <c r="I8" i="44"/>
  <c r="I12" i="44" l="1"/>
  <c r="I11" i="44"/>
  <c r="G18" i="42"/>
  <c r="G19" i="42"/>
  <c r="G20" i="42"/>
  <c r="G21" i="42"/>
  <c r="K39" i="44"/>
  <c r="I22" i="44"/>
  <c r="I21" i="44"/>
  <c r="J22" i="44"/>
  <c r="J21" i="44"/>
  <c r="J15" i="44"/>
  <c r="G25" i="42"/>
  <c r="G26" i="42"/>
  <c r="J34" i="44"/>
  <c r="J35" i="44"/>
  <c r="I14" i="44" l="1"/>
  <c r="I7" i="44"/>
  <c r="J7" i="44" s="1"/>
  <c r="K57" i="44"/>
  <c r="K56" i="44"/>
  <c r="J8" i="44" l="1"/>
  <c r="J25" i="44" l="1"/>
  <c r="J17" i="44"/>
  <c r="J18" i="44"/>
  <c r="C29" i="42" l="1"/>
  <c r="I23" i="44" s="1"/>
  <c r="I27" i="44" s="1"/>
  <c r="J27" i="44" s="1"/>
  <c r="I28" i="44" l="1"/>
  <c r="J28" i="44" s="1"/>
  <c r="I24" i="44"/>
  <c r="J24" i="44" s="1"/>
  <c r="J23" i="44"/>
  <c r="J33" i="44"/>
  <c r="J32" i="44"/>
  <c r="J44" i="44"/>
  <c r="J26" i="44"/>
  <c r="J11" i="44"/>
  <c r="J12" i="44"/>
  <c r="I27" i="43"/>
  <c r="J11" i="43"/>
  <c r="J43" i="44" l="1"/>
  <c r="I45" i="44"/>
  <c r="J45" i="44" s="1"/>
  <c r="J42" i="44"/>
  <c r="K43" i="43" l="1"/>
  <c r="K42" i="43"/>
  <c r="I31" i="43"/>
  <c r="J31" i="43" s="1"/>
  <c r="I30" i="43"/>
  <c r="J30" i="43" s="1"/>
  <c r="I29" i="43"/>
  <c r="J29" i="43" s="1"/>
  <c r="J28" i="43"/>
  <c r="J27" i="43"/>
  <c r="F29" i="42" l="1"/>
  <c r="H2" i="44" s="1"/>
  <c r="G22" i="42"/>
  <c r="G23" i="42"/>
  <c r="G24" i="42"/>
  <c r="G27" i="42"/>
  <c r="E7" i="42"/>
  <c r="E8" i="42"/>
  <c r="E9" i="42"/>
  <c r="E10" i="42"/>
  <c r="E11" i="42"/>
  <c r="H7" i="42"/>
  <c r="I7" i="42" s="1"/>
  <c r="H8" i="42"/>
  <c r="I8" i="42" s="1"/>
  <c r="H9" i="42"/>
  <c r="I9" i="42" s="1"/>
  <c r="H10" i="42"/>
  <c r="I10" i="42" s="1"/>
  <c r="I19" i="44" l="1"/>
  <c r="J19" i="44" s="1"/>
  <c r="G29" i="42"/>
  <c r="H6" i="42"/>
  <c r="I6" i="42" s="1"/>
  <c r="H11" i="42"/>
  <c r="I11" i="42" s="1"/>
  <c r="E6" i="42"/>
  <c r="E5" i="42" l="1"/>
  <c r="H5" i="42"/>
  <c r="I5" i="42" s="1"/>
  <c r="K53" i="44" l="1"/>
  <c r="J46" i="44"/>
  <c r="K41" i="44"/>
  <c r="J40" i="44"/>
  <c r="J39" i="44"/>
  <c r="J38" i="44"/>
  <c r="J36" i="44"/>
  <c r="J10" i="44"/>
  <c r="J9" i="44"/>
  <c r="K39" i="43"/>
  <c r="K38" i="43"/>
  <c r="K44" i="43" s="1"/>
  <c r="J35" i="43"/>
  <c r="J25" i="43"/>
  <c r="J22" i="43"/>
  <c r="I18" i="43"/>
  <c r="J18" i="43" s="1"/>
  <c r="J17" i="43"/>
  <c r="J15" i="43"/>
  <c r="J14" i="43"/>
  <c r="J13" i="43"/>
  <c r="J12" i="43"/>
  <c r="J10" i="43"/>
  <c r="J9" i="43"/>
  <c r="G28" i="42"/>
  <c r="H2" i="43"/>
  <c r="C13" i="42"/>
  <c r="H12" i="42"/>
  <c r="I12" i="42" s="1"/>
  <c r="E12" i="42"/>
  <c r="H4" i="42"/>
  <c r="I4" i="42" s="1"/>
  <c r="E4" i="42"/>
  <c r="J58" i="44" l="1"/>
  <c r="M15" i="44"/>
  <c r="M21" i="44"/>
  <c r="M22" i="44"/>
  <c r="M43" i="44"/>
  <c r="M45" i="44"/>
  <c r="M44" i="44"/>
  <c r="M35" i="44"/>
  <c r="M34" i="44"/>
  <c r="M27" i="44"/>
  <c r="M19" i="44"/>
  <c r="M25" i="44"/>
  <c r="M8" i="44"/>
  <c r="M17" i="44"/>
  <c r="J49" i="44"/>
  <c r="M49" i="44" s="1"/>
  <c r="M32" i="44"/>
  <c r="M33" i="44"/>
  <c r="M18" i="44"/>
  <c r="M26" i="44"/>
  <c r="M23" i="44"/>
  <c r="M28" i="44"/>
  <c r="M24" i="44"/>
  <c r="M12" i="44"/>
  <c r="M11" i="44"/>
  <c r="M36" i="44"/>
  <c r="M39" i="44"/>
  <c r="M9" i="44"/>
  <c r="M38" i="44"/>
  <c r="M46" i="44"/>
  <c r="M10" i="44"/>
  <c r="M41" i="44"/>
  <c r="M53" i="44"/>
  <c r="M42" i="44"/>
  <c r="M52" i="44"/>
  <c r="M40" i="44"/>
  <c r="J6" i="44"/>
  <c r="H3" i="44"/>
  <c r="M58" i="44"/>
  <c r="E13" i="42"/>
  <c r="I13" i="42"/>
  <c r="J13" i="42" s="1"/>
  <c r="O3" i="43" s="1"/>
  <c r="I16" i="43" s="1"/>
  <c r="J14" i="44"/>
  <c r="M14" i="44" s="1"/>
  <c r="K58" i="44"/>
  <c r="K45" i="43"/>
  <c r="K48" i="43"/>
  <c r="I29" i="42"/>
  <c r="I34" i="43" l="1"/>
  <c r="I20" i="43"/>
  <c r="I23" i="43"/>
  <c r="J23" i="43" s="1"/>
  <c r="M23" i="43" s="1"/>
  <c r="M6" i="44"/>
  <c r="K52" i="44"/>
  <c r="K60" i="44" s="1"/>
  <c r="M7" i="44"/>
  <c r="J31" i="44"/>
  <c r="I16" i="44"/>
  <c r="J16" i="44" s="1"/>
  <c r="I20" i="44"/>
  <c r="J20" i="44" s="1"/>
  <c r="M20" i="44" s="1"/>
  <c r="M11" i="43"/>
  <c r="I33" i="43"/>
  <c r="J33" i="43" s="1"/>
  <c r="H3" i="43"/>
  <c r="M9" i="43"/>
  <c r="M10" i="43"/>
  <c r="M12" i="43"/>
  <c r="M13" i="43"/>
  <c r="M31" i="43"/>
  <c r="M39" i="43"/>
  <c r="M15" i="43"/>
  <c r="M17" i="43"/>
  <c r="M18" i="43"/>
  <c r="M25" i="43"/>
  <c r="M27" i="43"/>
  <c r="M28" i="43"/>
  <c r="M38" i="43"/>
  <c r="M29" i="43"/>
  <c r="M35" i="43"/>
  <c r="M30" i="43"/>
  <c r="M14" i="43"/>
  <c r="M22" i="43"/>
  <c r="K49" i="43"/>
  <c r="I48" i="44"/>
  <c r="J48" i="44" s="1"/>
  <c r="M48" i="44" s="1"/>
  <c r="I7" i="43" l="1"/>
  <c r="I6" i="43"/>
  <c r="I8" i="43"/>
  <c r="J16" i="43"/>
  <c r="M16" i="43" s="1"/>
  <c r="J34" i="43"/>
  <c r="M34" i="43" s="1"/>
  <c r="J20" i="43"/>
  <c r="M20" i="43" s="1"/>
  <c r="I24" i="43"/>
  <c r="J24" i="43" s="1"/>
  <c r="M24" i="43" s="1"/>
  <c r="M16" i="44"/>
  <c r="J56" i="44"/>
  <c r="M56" i="44" s="1"/>
  <c r="J57" i="44"/>
  <c r="M57" i="44" s="1"/>
  <c r="K59" i="44"/>
  <c r="K63" i="44" s="1"/>
  <c r="K64" i="44" s="1"/>
  <c r="I21" i="43"/>
  <c r="J21" i="43" s="1"/>
  <c r="J43" i="43" s="1"/>
  <c r="J8" i="43"/>
  <c r="M8" i="43" s="1"/>
  <c r="J7" i="43"/>
  <c r="M7" i="43" s="1"/>
  <c r="J6" i="43"/>
  <c r="M31" i="44"/>
  <c r="M33" i="43"/>
  <c r="J42" i="43" l="1"/>
  <c r="M42" i="43" s="1"/>
  <c r="J37" i="43"/>
  <c r="M37" i="43" s="1"/>
  <c r="J50" i="44"/>
  <c r="M50" i="44" s="1"/>
  <c r="J51" i="44"/>
  <c r="M51" i="44" s="1"/>
  <c r="M43" i="43"/>
  <c r="M21" i="43"/>
  <c r="M6" i="43"/>
  <c r="J36" i="43"/>
  <c r="M36" i="43" s="1"/>
  <c r="J61" i="44"/>
  <c r="M61" i="44" s="1"/>
  <c r="J59" i="44" l="1"/>
  <c r="J60" i="44" s="1"/>
  <c r="J62" i="44" s="1"/>
  <c r="J44" i="43"/>
  <c r="M44" i="43" s="1"/>
  <c r="J46" i="43"/>
  <c r="M46" i="43" s="1"/>
  <c r="J45" i="43" l="1"/>
  <c r="J47" i="43" s="1"/>
  <c r="M59" i="44"/>
  <c r="J63" i="44"/>
  <c r="M63" i="44" s="1"/>
  <c r="M62" i="44"/>
  <c r="J48" i="43" l="1"/>
  <c r="M48" i="43" s="1"/>
  <c r="M47" i="43"/>
  <c r="J64" i="44"/>
  <c r="M64" i="44" l="1"/>
  <c r="J49" i="43"/>
  <c r="M49" i="43" l="1"/>
</calcChain>
</file>

<file path=xl/sharedStrings.xml><?xml version="1.0" encoding="utf-8"?>
<sst xmlns="http://schemas.openxmlformats.org/spreadsheetml/2006/main" count="402" uniqueCount="237">
  <si>
    <t>PUBLIC SAFETY</t>
  </si>
  <si>
    <t>GRID TEST REPORT (if avaliable)</t>
  </si>
  <si>
    <t>Type of Area</t>
  </si>
  <si>
    <t>sq.ft./antenna</t>
  </si>
  <si>
    <t>Floor</t>
  </si>
  <si>
    <t>Antennas</t>
  </si>
  <si>
    <t>Area (sqft)</t>
  </si>
  <si>
    <t>sqft/ant</t>
  </si>
  <si>
    <t>Passing</t>
  </si>
  <si>
    <t>Failing</t>
  </si>
  <si>
    <t>Area</t>
  </si>
  <si>
    <t>Parking</t>
  </si>
  <si>
    <t>Other</t>
  </si>
  <si>
    <t>% AREA TO CONSIDER</t>
  </si>
  <si>
    <t>TOTAL</t>
  </si>
  <si>
    <t>CELLULAR DAS</t>
  </si>
  <si>
    <t>Density</t>
  </si>
  <si>
    <t>sq.ft./HP RU</t>
  </si>
  <si>
    <t>Examples</t>
  </si>
  <si>
    <t>MP RU</t>
  </si>
  <si>
    <t>HP RU</t>
  </si>
  <si>
    <t>Open Space</t>
  </si>
  <si>
    <t>Parking garage / convention center</t>
  </si>
  <si>
    <t>P5</t>
  </si>
  <si>
    <t>Light</t>
  </si>
  <si>
    <t>Retail / restaurant</t>
  </si>
  <si>
    <t>P4</t>
  </si>
  <si>
    <t>Medium</t>
  </si>
  <si>
    <t>Office / meeting room</t>
  </si>
  <si>
    <t>P3</t>
  </si>
  <si>
    <t>Dense</t>
  </si>
  <si>
    <t>Residential / hotel / mixed-used</t>
  </si>
  <si>
    <t>P2</t>
  </si>
  <si>
    <t>High-density</t>
  </si>
  <si>
    <t>Hospital / Brick or concrete-wall buildings</t>
  </si>
  <si>
    <t>P1</t>
  </si>
  <si>
    <t>F5</t>
  </si>
  <si>
    <t>F4</t>
  </si>
  <si>
    <t>F3</t>
  </si>
  <si>
    <t>F2</t>
  </si>
  <si>
    <t>F1</t>
  </si>
  <si>
    <t>TOTAL AREA</t>
  </si>
  <si>
    <t>CONSIDERED AREA</t>
  </si>
  <si>
    <t>OEM</t>
  </si>
  <si>
    <t>OEM CODE</t>
  </si>
  <si>
    <t>Unit Price</t>
  </si>
  <si>
    <t>Qty</t>
  </si>
  <si>
    <t>Capex</t>
  </si>
  <si>
    <t>Opex</t>
  </si>
  <si>
    <t>CAPEX/SF</t>
  </si>
  <si>
    <t>Assumptions</t>
  </si>
  <si>
    <t>EQUIPMENT</t>
  </si>
  <si>
    <t>700/800 MHz 0.5W BDA</t>
  </si>
  <si>
    <t>ADRF</t>
  </si>
  <si>
    <t>PSR-78-9533-U-27</t>
  </si>
  <si>
    <t>Up to 200,000 sq. ft.</t>
  </si>
  <si>
    <t>700/800 MHz 2W BDA</t>
  </si>
  <si>
    <t>PSR-78-9533-U</t>
  </si>
  <si>
    <t>Up to 300,000 sq. ft.</t>
  </si>
  <si>
    <t>700/800 MHz 5W BDA</t>
  </si>
  <si>
    <t>PSR-78-9537-U</t>
  </si>
  <si>
    <t>Up to 450,000 sq. ft.</t>
  </si>
  <si>
    <t>700/800 MHz Fiber-optic Digital Repeater</t>
  </si>
  <si>
    <t>FiRe-78-8-U</t>
  </si>
  <si>
    <r>
      <rPr>
        <sz val="11"/>
        <color rgb="FF808080"/>
        <rFont val="Calibri"/>
      </rPr>
      <t xml:space="preserve">Above 450,000 sq. ft. </t>
    </r>
    <r>
      <rPr>
        <i/>
        <u/>
        <sz val="11"/>
        <color rgb="FF808080"/>
        <rFont val="Calibri"/>
      </rPr>
      <t>and/or</t>
    </r>
    <r>
      <rPr>
        <i/>
        <sz val="11"/>
        <color rgb="FF808080"/>
        <rFont val="Calibri"/>
      </rPr>
      <t xml:space="preserve"> multiple building</t>
    </r>
  </si>
  <si>
    <t>700/800 MHz 2W Fiber Remote Unit</t>
  </si>
  <si>
    <t>ADXV-R-3378P-U (ADXV PS RU)</t>
  </si>
  <si>
    <r>
      <t xml:space="preserve">1 for each 300,000 sq. ft. </t>
    </r>
    <r>
      <rPr>
        <i/>
        <u/>
        <sz val="11"/>
        <color theme="1" tint="0.499984740745262"/>
        <rFont val="Calibri"/>
        <family val="2"/>
        <scheme val="minor"/>
      </rPr>
      <t>and/or</t>
    </r>
    <r>
      <rPr>
        <i/>
        <sz val="11"/>
        <color theme="1" tint="0.499984740745262"/>
        <rFont val="Calibri"/>
        <family val="2"/>
        <scheme val="minor"/>
      </rPr>
      <t xml:space="preserve"> 1 per building</t>
    </r>
  </si>
  <si>
    <t>system type_table type_manufacturer</t>
  </si>
  <si>
    <t>line name_table type_type of column</t>
  </si>
  <si>
    <t>VHF/UHF 5W BDA</t>
  </si>
  <si>
    <t>PSR-VU-9537-U</t>
  </si>
  <si>
    <t>If required / Up to 600,000 sq.ft.</t>
  </si>
  <si>
    <t>ERCES_Equipment_ADRF</t>
  </si>
  <si>
    <t>700_800 MHz 0_5W BDA_equipment_Qty</t>
  </si>
  <si>
    <t>700/800MHz Filter</t>
  </si>
  <si>
    <t>Comba</t>
  </si>
  <si>
    <t>FP-78-IN2</t>
  </si>
  <si>
    <t>1 if Cellular DAS has 700/850Mhz</t>
  </si>
  <si>
    <t>125Ah 24V Lithium BBU</t>
  </si>
  <si>
    <t>ADRF-BBU-W-125-2S</t>
  </si>
  <si>
    <r>
      <t xml:space="preserve">1 for each 2W BDA, 5W BDA, MU </t>
    </r>
    <r>
      <rPr>
        <u/>
        <sz val="11"/>
        <color theme="1" tint="0.499984740745262"/>
        <rFont val="Calibri"/>
        <family val="2"/>
        <scheme val="minor"/>
      </rPr>
      <t>and/or</t>
    </r>
    <r>
      <rPr>
        <sz val="11"/>
        <color theme="1" tint="0.499984740745262"/>
        <rFont val="Calibri"/>
        <family val="2"/>
        <scheme val="minor"/>
      </rPr>
      <t xml:space="preserve"> RU</t>
    </r>
  </si>
  <si>
    <t>45Ah 24V SLA BBU</t>
  </si>
  <si>
    <t>ADRF-BBU-W-045-2S</t>
  </si>
  <si>
    <t>1 for each 0.5W BDA</t>
  </si>
  <si>
    <t>Anunciator Panel + Cable</t>
  </si>
  <si>
    <t>PSR-ANN-U</t>
  </si>
  <si>
    <t>1 per project</t>
  </si>
  <si>
    <t>Indoor Wide Band Omni Antenna</t>
  </si>
  <si>
    <t>AD-OMNI-SISO-4310-X</t>
  </si>
  <si>
    <t>Total from tab SIZE * cell O3</t>
  </si>
  <si>
    <t>Outdoor Directional Yagi Antenna</t>
  </si>
  <si>
    <t>AD-DBYG-698-2700-N</t>
  </si>
  <si>
    <t>1x on rooftop</t>
  </si>
  <si>
    <t>Type N F/F Bulkhead Coaxial RF Surge Protector</t>
  </si>
  <si>
    <t>-</t>
  </si>
  <si>
    <t>CABLING &amp; MATERIALS</t>
  </si>
  <si>
    <t>1/2" Low Loss Air Dialectrict Plenum-Rated Cable (per ft)</t>
  </si>
  <si>
    <t>formula (number of antennas * 100)</t>
  </si>
  <si>
    <t>N-Male Connector LCF12-50</t>
  </si>
  <si>
    <t>formula (number of couplers * 3 + 10%)</t>
  </si>
  <si>
    <t>Preterminated Single Mode Fiber</t>
  </si>
  <si>
    <t>formula (number of RUs * 650)</t>
  </si>
  <si>
    <t>ERCES_CablingMaterials_ADRF</t>
  </si>
  <si>
    <t>Various XXdB Directional Couplers</t>
  </si>
  <si>
    <t>formula (number of antennas - 1)</t>
  </si>
  <si>
    <t>3ft 0.141 Jumper Cable, PIM Rated, Plenum Rated, N-M to N-M</t>
  </si>
  <si>
    <t>formula (number of antennas * 2)</t>
  </si>
  <si>
    <t>Other Capex</t>
  </si>
  <si>
    <t>Standard / fix cost</t>
  </si>
  <si>
    <t>NO</t>
  </si>
  <si>
    <t>NEMA-3R</t>
  </si>
  <si>
    <t>ALL-IN</t>
  </si>
  <si>
    <t>NEMA-4</t>
  </si>
  <si>
    <t>1x per floor</t>
  </si>
  <si>
    <t>NEMA-1</t>
  </si>
  <si>
    <t>1x per antenna</t>
  </si>
  <si>
    <t>12x12 Access Hatch</t>
  </si>
  <si>
    <t>Electrical labor</t>
  </si>
  <si>
    <t>SERVICE &amp; LABOR</t>
  </si>
  <si>
    <t>Site Survey, Design &amp; Mgmt.</t>
  </si>
  <si>
    <t>"Internal Labor" with travel expenses</t>
  </si>
  <si>
    <t>Installation Labor</t>
  </si>
  <si>
    <t>"External Labor" with travel expenses</t>
  </si>
  <si>
    <t>Less than 10 Antennas, we should consider labor cost as $2000</t>
  </si>
  <si>
    <t>Permit</t>
  </si>
  <si>
    <t>Standard Permit cost</t>
  </si>
  <si>
    <t>Always need to know if Union labor is involved = $1600</t>
  </si>
  <si>
    <t>Sales Commission</t>
  </si>
  <si>
    <t>Sales Commission estimate</t>
  </si>
  <si>
    <t>GPO Fee</t>
  </si>
  <si>
    <t>GPO Fee estimate -- If required (for hospitals)</t>
  </si>
  <si>
    <t>24x7 Monitoring &amp; Maintenance</t>
  </si>
  <si>
    <t>Standard / fix cost ($150/month)</t>
  </si>
  <si>
    <t>Annual Inspection</t>
  </si>
  <si>
    <t>This cost is per day. If the building is in Hawaii and/or building has more than 15 floors, then multiple days needs to be considered</t>
  </si>
  <si>
    <t>USD</t>
  </si>
  <si>
    <t>Equipment</t>
  </si>
  <si>
    <t>Cabling &amp; Materials</t>
  </si>
  <si>
    <t>Service &amp; Labor</t>
  </si>
  <si>
    <t>SUB-TOTAL</t>
  </si>
  <si>
    <t>Shipping</t>
  </si>
  <si>
    <t>Standard shipping cost</t>
  </si>
  <si>
    <t>Estimated Tax</t>
  </si>
  <si>
    <t>Tax</t>
  </si>
  <si>
    <t>Standard rate - confirm if taxes are correct and should be included</t>
  </si>
  <si>
    <t>Contingency</t>
  </si>
  <si>
    <t>5% with a design / 10% without a design</t>
  </si>
  <si>
    <t xml:space="preserve"> </t>
  </si>
  <si>
    <t>DAS HEAD-END</t>
  </si>
  <si>
    <t>ADX V Chassis w/ NMS (Network Management System)</t>
  </si>
  <si>
    <t>ADXV-H-NMS-AC</t>
  </si>
  <si>
    <t>1 per sector</t>
  </si>
  <si>
    <t>ADX V DAS Optical Donor Unit Module</t>
  </si>
  <si>
    <t>ADXV-H-ODU-4-X</t>
  </si>
  <si>
    <t>1 for each 4 RUs and at least 1 per sector</t>
  </si>
  <si>
    <t>POI Module Standard frequencies (700MHz/800Mhz/PCS/AWS)</t>
  </si>
  <si>
    <t>ADXV-H-POI-7L / ADXV-H-POI-7U / ADXV-H-POI-S8C / ADXV-H-POI-P / ADXV-H-POI-A</t>
  </si>
  <si>
    <r>
      <t xml:space="preserve">Up to 12 per sector (total)
1x 2.5GHz </t>
    </r>
    <r>
      <rPr>
        <u/>
        <sz val="11"/>
        <color theme="1" tint="0.499984740745262"/>
        <rFont val="Calibri"/>
        <family val="2"/>
        <scheme val="minor"/>
      </rPr>
      <t>and/or</t>
    </r>
    <r>
      <rPr>
        <sz val="11"/>
        <color theme="1" tint="0.499984740745262"/>
        <rFont val="Calibri"/>
        <family val="2"/>
        <scheme val="minor"/>
      </rPr>
      <t xml:space="preserve"> 1x C-Band if required</t>
    </r>
  </si>
  <si>
    <t>POI Module BRS (2.5 GHz)</t>
  </si>
  <si>
    <t>ADXV-H-POI-BTF</t>
  </si>
  <si>
    <t>POI Module C-Band (3.7 GHz)</t>
  </si>
  <si>
    <t>ADXV-H-POI-N77H</t>
  </si>
  <si>
    <t>Head End Channel Combiner Module for Downlink</t>
  </si>
  <si>
    <t>ADXV-H-CHC-168-DL-X</t>
  </si>
  <si>
    <t>Head End Channel Combiner Module for Uplink</t>
  </si>
  <si>
    <t>ADXV-H-CHC-168-UL-X</t>
  </si>
  <si>
    <t>REMOTE UNITS</t>
  </si>
  <si>
    <t>High-Power Remote Chassis</t>
  </si>
  <si>
    <t>ADXV-HPR-CHA / ADXV-HPR-CBL-AC</t>
  </si>
  <si>
    <t>1 for each RU</t>
  </si>
  <si>
    <t>High Power Remote Rack</t>
  </si>
  <si>
    <t>1 if there are more than 4 Amplifiers required</t>
  </si>
  <si>
    <t>High-Power Remote Amplifiers (700MHz/800Mhz/PCS/AWS)</t>
  </si>
  <si>
    <t>ADXV-HPR-437FN / ADXV-HPR-43S8C / ADXV-HPR-46P / ADXV-HPR-46A</t>
  </si>
  <si>
    <t>High-Power Remote Amplifiers (2.5GHz)</t>
  </si>
  <si>
    <t>ADXV-HPR-43BTF</t>
  </si>
  <si>
    <t>1 for each RU if 2.5GHz is required</t>
  </si>
  <si>
    <t>High-Power Remote Amplifiers (C-Band)</t>
  </si>
  <si>
    <t>ADXV-HPR-46N77H</t>
  </si>
  <si>
    <t>1 for each RU if C-Band is required</t>
  </si>
  <si>
    <t>High-Power Remote Universal Channel Combiner</t>
  </si>
  <si>
    <t>ADXV-R-CHC-X</t>
  </si>
  <si>
    <t>High-Power Remote Optical Module</t>
  </si>
  <si>
    <t>ADXV-HPR-ORU-X</t>
  </si>
  <si>
    <t>ADX V DAS High Power Remote AC Power Supply Unit Module</t>
  </si>
  <si>
    <t>ADX V DAS High Power Remote AC Power Supply Unit Module (50v)</t>
  </si>
  <si>
    <t>Mid-Power Remote Chassis</t>
  </si>
  <si>
    <t>ADXV-R-CHA / ADXV-R-PSU-AC</t>
  </si>
  <si>
    <t>Mid-Power Remote Amplifiers (700MHz/800Mhz/PCS/AWS)</t>
  </si>
  <si>
    <t>ADXV-R-337FN / UADXV-R-33S8C / ADXV-R-37P / ADXV-R-37A</t>
  </si>
  <si>
    <t>Mid-Power Remote Amplifiers (2.5GHz)</t>
  </si>
  <si>
    <t>ADXV-R-33BTF</t>
  </si>
  <si>
    <t>Mid-Power Remote Amplifiers (C-Band)</t>
  </si>
  <si>
    <t>ADXV-R-37N77H</t>
  </si>
  <si>
    <t>Mid-Power Remote Universal Channel Combiner</t>
  </si>
  <si>
    <t>Mid-Power Remote Optical Module</t>
  </si>
  <si>
    <t>ADXV-R-ORU-X</t>
  </si>
  <si>
    <t>OTH EQUIP</t>
  </si>
  <si>
    <t>Indoor Cabling &amp; Materials</t>
  </si>
  <si>
    <t>Includes cabling, connectors, jumpers, etc.</t>
  </si>
  <si>
    <t>Outdoor Cabling &amp; Materials</t>
  </si>
  <si>
    <t>Outdoor Poles</t>
  </si>
  <si>
    <t>If needed</t>
  </si>
  <si>
    <t>Donor Antenna</t>
  </si>
  <si>
    <t>Per Donor Antenna</t>
  </si>
  <si>
    <t>GPS ( Standard)</t>
  </si>
  <si>
    <t>Per GPS antenna</t>
  </si>
  <si>
    <t>Headend Miscellaneous</t>
  </si>
  <si>
    <t xml:space="preserve">Standard / fix cost/Anything related to the headend </t>
  </si>
  <si>
    <t>SIGNAL SOURCE</t>
  </si>
  <si>
    <t>Verizon Extender</t>
  </si>
  <si>
    <t>Up to 3 per sector / up to 3 per address (standard = 2 per sector)</t>
  </si>
  <si>
    <t>AT&amp;T MetroCell</t>
  </si>
  <si>
    <t>OneCell - CAPEX</t>
  </si>
  <si>
    <t>1 per property</t>
  </si>
  <si>
    <t>OneCell - OPEX</t>
  </si>
  <si>
    <t>OneCell - Extra Sector CAPEX</t>
  </si>
  <si>
    <t>1 additional per sector</t>
  </si>
  <si>
    <t>AT&amp;T Base Station</t>
  </si>
  <si>
    <t>Verizon BAse Station</t>
  </si>
  <si>
    <t>T-Mobile Base Station</t>
  </si>
  <si>
    <t>ADRF SDA Reapeter (mBDA)</t>
  </si>
  <si>
    <t>RMK-SDR / SDR-30-700F / SDR-30-C / SDR-30-P / SDR-30-AF / SDR-NMS / SDRC-PSU-5</t>
  </si>
  <si>
    <t>"Internal Labor" with travel expenses /  adjust for extra traveling costs / keep total CAPEX above $10,000</t>
  </si>
  <si>
    <t>"External Labor" with travel expenses / adjust for extra traveling costs, union labor, infection control tent, etc.</t>
  </si>
  <si>
    <t>Monitoring &amp; Maintenance</t>
  </si>
  <si>
    <t>12 * cell O42</t>
  </si>
  <si>
    <t>Insurance</t>
  </si>
  <si>
    <t>ADRF Equipment</t>
  </si>
  <si>
    <t>Other Equipment</t>
  </si>
  <si>
    <t>Signal Sources</t>
  </si>
  <si>
    <t>Sectors</t>
  </si>
  <si>
    <t>Assume 2nd sector if bldg. has more then 300 people/carrier (900 people total)</t>
  </si>
  <si>
    <t>Design &amp; Deployment</t>
  </si>
  <si>
    <t>Monit. &amp; Maintenance</t>
  </si>
  <si>
    <t>Approx. 1% of the area, no less than $200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</si>
</sst>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_-* #,##0.00_-;\-* #,##0.00_-;_-* &quot;-&quot;??_-;_-@_-"/>
    <numFmt numFmtId="165" formatCode="#,##0\ &quot;sq ft&quot;;\(#,##0\)\ &quot;sq ft&quot;;&quot;-&quot;"/>
    <numFmt numFmtId="166" formatCode="#,##0;\(#,##0\);&quot;-&quot;"/>
    <numFmt numFmtId="167" formatCode="0.0%"/>
    <numFmt numFmtId="168" formatCode="[$$-409]#,##0"/>
    <numFmt numFmtId="169" formatCode="#,##0\ &quot;sq ft&quot;"/>
    <numFmt numFmtId="170" formatCode="\$\ #,##0;[Red]\-\ \$\ #,##0;\-;@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sz val="1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i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11"/>
      <color theme="5"/>
      <name val="Calibri"/>
      <family val="2"/>
      <scheme val="minor"/>
    </font>
    <font>
      <u/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i/>
      <u/>
      <sz val="11"/>
      <color theme="1" tint="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name val="Calibri"/>
      <family val="2"/>
    </font>
    <font>
      <sz val="11"/>
      <color rgb="FF000000"/>
      <name val="Aptos Narrow"/>
      <family val="2"/>
    </font>
    <font>
      <sz val="11"/>
      <color rgb="FF808080"/>
      <name val="Calibri"/>
    </font>
    <font>
      <i/>
      <u/>
      <sz val="11"/>
      <color rgb="FF808080"/>
      <name val="Calibri"/>
    </font>
    <font>
      <i/>
      <sz val="11"/>
      <color rgb="FF808080"/>
      <name val="Calibri"/>
    </font>
    <font>
      <sz val="2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lightDown">
        <fgColor theme="0" tint="-0.149967955565050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52B1E"/>
        <bgColor indexed="64"/>
      </patternFill>
    </fill>
    <fill>
      <patternFill patternType="solid">
        <fgColor rgb="FF1F8FB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</fills>
  <borders count="41">
    <border>
      <left/>
      <right/>
      <top/>
      <bottom/>
      <diagonal/>
    </border>
    <border>
      <left/>
      <right/>
      <top style="dotted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34998626667073579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000000"/>
      </top>
      <bottom style="thin">
        <color theme="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/>
      </bottom>
      <diagonal/>
    </border>
    <border>
      <left style="medium">
        <color rgb="FF000000"/>
      </left>
      <right style="medium">
        <color theme="0"/>
      </right>
      <top style="medium">
        <color rgb="FF000000"/>
      </top>
      <bottom style="medium">
        <color theme="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vertical="center"/>
    </xf>
    <xf numFmtId="166" fontId="6" fillId="0" borderId="0" xfId="0" applyNumberFormat="1" applyFont="1" applyAlignment="1">
      <alignment horizontal="center" vertical="center"/>
    </xf>
    <xf numFmtId="167" fontId="6" fillId="0" borderId="0" xfId="2" applyNumberFormat="1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horizontal="left" vertical="center" indent="1"/>
    </xf>
    <xf numFmtId="0" fontId="6" fillId="0" borderId="1" xfId="0" applyFont="1" applyBorder="1" applyAlignment="1">
      <alignment vertical="center"/>
    </xf>
    <xf numFmtId="166" fontId="6" fillId="0" borderId="1" xfId="0" applyNumberFormat="1" applyFont="1" applyBorder="1" applyAlignment="1">
      <alignment horizontal="center" vertical="center"/>
    </xf>
    <xf numFmtId="9" fontId="6" fillId="0" borderId="0" xfId="2" applyFont="1" applyAlignment="1">
      <alignment horizontal="center" vertical="center"/>
    </xf>
    <xf numFmtId="0" fontId="8" fillId="0" borderId="0" xfId="0" applyFont="1" applyAlignment="1">
      <alignment vertical="center"/>
    </xf>
    <xf numFmtId="166" fontId="8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center" indent="1"/>
    </xf>
    <xf numFmtId="2" fontId="0" fillId="0" borderId="0" xfId="0" applyNumberFormat="1" applyAlignment="1">
      <alignment vertical="center"/>
    </xf>
    <xf numFmtId="0" fontId="15" fillId="0" borderId="0" xfId="0" applyFont="1" applyAlignment="1">
      <alignment vertical="center"/>
    </xf>
    <xf numFmtId="2" fontId="16" fillId="0" borderId="8" xfId="0" applyNumberFormat="1" applyFont="1" applyBorder="1" applyAlignment="1">
      <alignment horizontal="center" vertical="center"/>
    </xf>
    <xf numFmtId="2" fontId="16" fillId="3" borderId="8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66" fontId="6" fillId="2" borderId="10" xfId="0" quotePrefix="1" applyNumberFormat="1" applyFont="1" applyFill="1" applyBorder="1" applyAlignment="1">
      <alignment horizontal="center" vertical="center"/>
    </xf>
    <xf numFmtId="166" fontId="6" fillId="2" borderId="9" xfId="0" quotePrefix="1" applyNumberFormat="1" applyFont="1" applyFill="1" applyBorder="1" applyAlignment="1">
      <alignment horizontal="center" vertical="center"/>
    </xf>
    <xf numFmtId="166" fontId="6" fillId="2" borderId="10" xfId="0" applyNumberFormat="1" applyFont="1" applyFill="1" applyBorder="1" applyAlignment="1">
      <alignment horizontal="center" vertical="center"/>
    </xf>
    <xf numFmtId="166" fontId="6" fillId="2" borderId="9" xfId="0" applyNumberFormat="1" applyFont="1" applyFill="1" applyBorder="1" applyAlignment="1">
      <alignment horizontal="center" vertical="center"/>
    </xf>
    <xf numFmtId="167" fontId="6" fillId="2" borderId="10" xfId="2" applyNumberFormat="1" applyFont="1" applyFill="1" applyBorder="1" applyAlignment="1">
      <alignment horizontal="center" vertical="center"/>
    </xf>
    <xf numFmtId="166" fontId="3" fillId="0" borderId="11" xfId="0" applyNumberFormat="1" applyFont="1" applyBorder="1" applyAlignment="1">
      <alignment horizontal="center" vertical="center"/>
    </xf>
    <xf numFmtId="167" fontId="3" fillId="0" borderId="11" xfId="2" applyNumberFormat="1" applyFont="1" applyFill="1" applyBorder="1" applyAlignment="1">
      <alignment horizontal="center" vertical="center"/>
    </xf>
    <xf numFmtId="2" fontId="2" fillId="6" borderId="8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left" vertical="center" indent="1"/>
    </xf>
    <xf numFmtId="0" fontId="6" fillId="2" borderId="2" xfId="0" applyFont="1" applyFill="1" applyBorder="1" applyAlignment="1">
      <alignment horizontal="center" vertical="center"/>
    </xf>
    <xf numFmtId="168" fontId="6" fillId="2" borderId="2" xfId="0" applyNumberFormat="1" applyFont="1" applyFill="1" applyBorder="1" applyAlignment="1">
      <alignment horizontal="center" vertical="center"/>
    </xf>
    <xf numFmtId="166" fontId="2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" fillId="6" borderId="3" xfId="0" applyFont="1" applyFill="1" applyBorder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6" fillId="2" borderId="15" xfId="0" quotePrefix="1" applyNumberFormat="1" applyFont="1" applyFill="1" applyBorder="1" applyAlignment="1">
      <alignment horizontal="center" vertical="center"/>
    </xf>
    <xf numFmtId="166" fontId="6" fillId="2" borderId="15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Continuous" vertical="center"/>
    </xf>
    <xf numFmtId="0" fontId="0" fillId="0" borderId="19" xfId="0" applyBorder="1"/>
    <xf numFmtId="0" fontId="0" fillId="0" borderId="19" xfId="0" applyBorder="1" applyAlignment="1">
      <alignment vertical="center"/>
    </xf>
    <xf numFmtId="0" fontId="15" fillId="0" borderId="0" xfId="0" applyFont="1" applyAlignment="1">
      <alignment horizontal="left" vertical="center" indent="1"/>
    </xf>
    <xf numFmtId="0" fontId="2" fillId="7" borderId="3" xfId="0" applyFont="1" applyFill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166" fontId="15" fillId="0" borderId="22" xfId="0" applyNumberFormat="1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166" fontId="15" fillId="0" borderId="7" xfId="0" applyNumberFormat="1" applyFont="1" applyBorder="1" applyAlignment="1">
      <alignment horizontal="center" vertical="center"/>
    </xf>
    <xf numFmtId="170" fontId="6" fillId="0" borderId="0" xfId="0" applyNumberFormat="1" applyFont="1" applyAlignment="1">
      <alignment horizontal="right" vertical="center" indent="1"/>
    </xf>
    <xf numFmtId="170" fontId="6" fillId="0" borderId="1" xfId="0" applyNumberFormat="1" applyFont="1" applyBorder="1" applyAlignment="1">
      <alignment horizontal="right" vertical="center" indent="1"/>
    </xf>
    <xf numFmtId="170" fontId="2" fillId="6" borderId="0" xfId="0" applyNumberFormat="1" applyFont="1" applyFill="1" applyAlignment="1">
      <alignment horizontal="right" vertical="center" indent="1"/>
    </xf>
    <xf numFmtId="167" fontId="6" fillId="2" borderId="2" xfId="0" applyNumberFormat="1" applyFont="1" applyFill="1" applyBorder="1" applyAlignment="1">
      <alignment horizontal="center" vertical="center"/>
    </xf>
    <xf numFmtId="167" fontId="6" fillId="9" borderId="2" xfId="0" applyNumberFormat="1" applyFont="1" applyFill="1" applyBorder="1" applyAlignment="1">
      <alignment horizontal="center" vertical="center"/>
    </xf>
    <xf numFmtId="170" fontId="6" fillId="10" borderId="0" xfId="0" applyNumberFormat="1" applyFont="1" applyFill="1" applyAlignment="1">
      <alignment horizontal="right" vertical="center" indent="1"/>
    </xf>
    <xf numFmtId="170" fontId="0" fillId="10" borderId="0" xfId="0" applyNumberFormat="1" applyFill="1" applyAlignment="1">
      <alignment horizontal="right" vertical="center" inden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right" vertical="center" indent="1"/>
    </xf>
    <xf numFmtId="0" fontId="16" fillId="0" borderId="7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165" fontId="4" fillId="0" borderId="0" xfId="1" applyNumberFormat="1" applyFont="1" applyFill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7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3" fillId="0" borderId="0" xfId="0" applyFont="1" applyAlignment="1">
      <alignment vertical="center"/>
    </xf>
    <xf numFmtId="2" fontId="18" fillId="3" borderId="8" xfId="0" applyNumberFormat="1" applyFont="1" applyFill="1" applyBorder="1" applyAlignment="1">
      <alignment vertical="center"/>
    </xf>
    <xf numFmtId="9" fontId="4" fillId="0" borderId="0" xfId="0" applyNumberFormat="1" applyFont="1" applyAlignment="1">
      <alignment horizontal="center" vertical="center"/>
    </xf>
    <xf numFmtId="164" fontId="4" fillId="0" borderId="0" xfId="1" applyFont="1" applyAlignment="1">
      <alignment vertical="center"/>
    </xf>
    <xf numFmtId="164" fontId="0" fillId="0" borderId="0" xfId="1" applyFont="1" applyAlignment="1">
      <alignment vertical="center"/>
    </xf>
    <xf numFmtId="0" fontId="0" fillId="0" borderId="25" xfId="0" applyBorder="1" applyAlignment="1">
      <alignment vertical="center"/>
    </xf>
    <xf numFmtId="0" fontId="6" fillId="0" borderId="25" xfId="0" applyFont="1" applyBorder="1" applyAlignment="1">
      <alignment horizontal="left" vertical="center" indent="1"/>
    </xf>
    <xf numFmtId="0" fontId="12" fillId="0" borderId="25" xfId="0" applyFont="1" applyBorder="1" applyAlignment="1">
      <alignment horizontal="left" vertical="center" indent="1"/>
    </xf>
    <xf numFmtId="0" fontId="6" fillId="0" borderId="25" xfId="0" applyFont="1" applyBorder="1" applyAlignment="1">
      <alignment vertical="center"/>
    </xf>
    <xf numFmtId="170" fontId="0" fillId="10" borderId="25" xfId="0" applyNumberFormat="1" applyFill="1" applyBorder="1" applyAlignment="1">
      <alignment horizontal="right" vertical="center" indent="1"/>
    </xf>
    <xf numFmtId="166" fontId="0" fillId="10" borderId="25" xfId="0" applyNumberFormat="1" applyFill="1" applyBorder="1" applyAlignment="1">
      <alignment horizontal="center" vertical="center"/>
    </xf>
    <xf numFmtId="2" fontId="16" fillId="0" borderId="26" xfId="0" applyNumberFormat="1" applyFont="1" applyBorder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0" fontId="0" fillId="0" borderId="31" xfId="0" applyBorder="1" applyAlignment="1">
      <alignment vertical="center"/>
    </xf>
    <xf numFmtId="0" fontId="6" fillId="0" borderId="31" xfId="0" applyFont="1" applyBorder="1" applyAlignment="1">
      <alignment horizontal="left" vertical="center" indent="1"/>
    </xf>
    <xf numFmtId="0" fontId="10" fillId="0" borderId="31" xfId="0" applyFont="1" applyBorder="1" applyAlignment="1">
      <alignment horizontal="left" vertical="center" indent="1"/>
    </xf>
    <xf numFmtId="0" fontId="6" fillId="0" borderId="31" xfId="0" applyFont="1" applyBorder="1" applyAlignment="1">
      <alignment vertical="center"/>
    </xf>
    <xf numFmtId="170" fontId="0" fillId="10" borderId="31" xfId="0" applyNumberFormat="1" applyFill="1" applyBorder="1" applyAlignment="1">
      <alignment horizontal="right" vertical="center" indent="1"/>
    </xf>
    <xf numFmtId="166" fontId="0" fillId="10" borderId="31" xfId="0" applyNumberFormat="1" applyFill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2" fontId="16" fillId="3" borderId="34" xfId="0" applyNumberFormat="1" applyFont="1" applyFill="1" applyBorder="1" applyAlignment="1">
      <alignment horizontal="center" vertical="center"/>
    </xf>
    <xf numFmtId="0" fontId="10" fillId="0" borderId="25" xfId="0" applyFont="1" applyBorder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2" fontId="16" fillId="3" borderId="7" xfId="0" applyNumberFormat="1" applyFont="1" applyFill="1" applyBorder="1" applyAlignment="1">
      <alignment horizontal="center" vertical="center"/>
    </xf>
    <xf numFmtId="167" fontId="0" fillId="2" borderId="35" xfId="0" applyNumberForma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 wrapText="1"/>
    </xf>
    <xf numFmtId="9" fontId="0" fillId="2" borderId="0" xfId="0" applyNumberFormat="1" applyFill="1" applyAlignment="1">
      <alignment horizontal="center" vertical="center" wrapText="1"/>
    </xf>
    <xf numFmtId="0" fontId="7" fillId="0" borderId="0" xfId="0" applyFont="1" applyAlignment="1">
      <alignment horizontal="centerContinuous" vertical="center" wrapText="1"/>
    </xf>
    <xf numFmtId="0" fontId="15" fillId="0" borderId="27" xfId="0" applyFont="1" applyBorder="1" applyAlignment="1">
      <alignment vertical="center" wrapText="1"/>
    </xf>
    <xf numFmtId="0" fontId="15" fillId="0" borderId="29" xfId="0" applyFont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8" fillId="0" borderId="33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7" borderId="2" xfId="0" applyFont="1" applyFill="1" applyBorder="1" applyAlignment="1">
      <alignment horizontal="right" vertical="center" wrapText="1" indent="1"/>
    </xf>
    <xf numFmtId="0" fontId="4" fillId="0" borderId="0" xfId="0" applyFont="1" applyAlignment="1">
      <alignment vertical="center" wrapText="1"/>
    </xf>
    <xf numFmtId="170" fontId="6" fillId="10" borderId="25" xfId="0" applyNumberFormat="1" applyFont="1" applyFill="1" applyBorder="1" applyAlignment="1">
      <alignment horizontal="right" vertical="center" indent="1"/>
    </xf>
    <xf numFmtId="166" fontId="6" fillId="10" borderId="25" xfId="0" applyNumberFormat="1" applyFont="1" applyFill="1" applyBorder="1" applyAlignment="1">
      <alignment horizontal="center" vertical="center"/>
    </xf>
    <xf numFmtId="166" fontId="6" fillId="10" borderId="0" xfId="0" applyNumberFormat="1" applyFont="1" applyFill="1" applyAlignment="1">
      <alignment horizontal="center" vertical="center"/>
    </xf>
    <xf numFmtId="0" fontId="12" fillId="0" borderId="31" xfId="0" applyFont="1" applyBorder="1" applyAlignment="1">
      <alignment horizontal="left" vertical="center" indent="1"/>
    </xf>
    <xf numFmtId="170" fontId="6" fillId="10" borderId="31" xfId="0" applyNumberFormat="1" applyFont="1" applyFill="1" applyBorder="1" applyAlignment="1">
      <alignment horizontal="right" vertical="center" indent="1"/>
    </xf>
    <xf numFmtId="166" fontId="6" fillId="10" borderId="31" xfId="0" applyNumberFormat="1" applyFont="1" applyFill="1" applyBorder="1" applyAlignment="1">
      <alignment horizontal="center" vertical="center"/>
    </xf>
    <xf numFmtId="9" fontId="6" fillId="2" borderId="0" xfId="0" applyNumberFormat="1" applyFont="1" applyFill="1" applyAlignment="1">
      <alignment horizontal="center" vertical="center" wrapText="1"/>
    </xf>
    <xf numFmtId="0" fontId="6" fillId="10" borderId="0" xfId="0" applyFont="1" applyFill="1" applyAlignment="1">
      <alignment vertical="center"/>
    </xf>
    <xf numFmtId="0" fontId="6" fillId="10" borderId="31" xfId="0" applyFont="1" applyFill="1" applyBorder="1" applyAlignment="1">
      <alignment vertical="center"/>
    </xf>
    <xf numFmtId="2" fontId="16" fillId="3" borderId="32" xfId="0" applyNumberFormat="1" applyFont="1" applyFill="1" applyBorder="1" applyAlignment="1">
      <alignment horizontal="center" vertical="center"/>
    </xf>
    <xf numFmtId="166" fontId="0" fillId="2" borderId="3" xfId="0" applyNumberFormat="1" applyFill="1" applyBorder="1" applyAlignment="1">
      <alignment horizontal="center" vertical="center"/>
    </xf>
    <xf numFmtId="166" fontId="0" fillId="2" borderId="14" xfId="0" applyNumberFormat="1" applyFill="1" applyBorder="1" applyAlignment="1">
      <alignment horizontal="center" vertical="center"/>
    </xf>
    <xf numFmtId="167" fontId="0" fillId="2" borderId="3" xfId="2" applyNumberFormat="1" applyFont="1" applyFill="1" applyBorder="1" applyAlignment="1">
      <alignment horizontal="center" vertical="center"/>
    </xf>
    <xf numFmtId="166" fontId="6" fillId="2" borderId="3" xfId="0" applyNumberFormat="1" applyFont="1" applyFill="1" applyBorder="1" applyAlignment="1">
      <alignment horizontal="center" vertical="center"/>
    </xf>
    <xf numFmtId="167" fontId="0" fillId="2" borderId="14" xfId="2" applyNumberFormat="1" applyFont="1" applyFill="1" applyBorder="1" applyAlignment="1">
      <alignment horizontal="center" vertical="center"/>
    </xf>
    <xf numFmtId="166" fontId="6" fillId="2" borderId="14" xfId="0" applyNumberFormat="1" applyFont="1" applyFill="1" applyBorder="1" applyAlignment="1">
      <alignment horizontal="center"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6" fillId="0" borderId="37" xfId="0" applyFont="1" applyBorder="1" applyAlignment="1">
      <alignment horizontal="left" vertical="center" indent="1"/>
    </xf>
    <xf numFmtId="0" fontId="12" fillId="0" borderId="37" xfId="0" applyFont="1" applyBorder="1" applyAlignment="1">
      <alignment horizontal="left" vertical="center" indent="1"/>
    </xf>
    <xf numFmtId="0" fontId="6" fillId="0" borderId="37" xfId="0" applyFont="1" applyBorder="1" applyAlignment="1">
      <alignment vertical="center"/>
    </xf>
    <xf numFmtId="170" fontId="6" fillId="10" borderId="37" xfId="0" applyNumberFormat="1" applyFont="1" applyFill="1" applyBorder="1" applyAlignment="1">
      <alignment horizontal="right" vertical="center" indent="1"/>
    </xf>
    <xf numFmtId="0" fontId="6" fillId="10" borderId="37" xfId="0" applyFont="1" applyFill="1" applyBorder="1" applyAlignment="1">
      <alignment vertical="center"/>
    </xf>
    <xf numFmtId="2" fontId="16" fillId="3" borderId="38" xfId="0" applyNumberFormat="1" applyFont="1" applyFill="1" applyBorder="1" applyAlignment="1">
      <alignment horizontal="center" vertical="center"/>
    </xf>
    <xf numFmtId="0" fontId="15" fillId="0" borderId="39" xfId="0" applyFont="1" applyBorder="1" applyAlignment="1">
      <alignment vertical="center" wrapText="1"/>
    </xf>
    <xf numFmtId="2" fontId="16" fillId="0" borderId="34" xfId="0" applyNumberFormat="1" applyFont="1" applyBorder="1" applyAlignment="1">
      <alignment horizontal="center" vertical="center"/>
    </xf>
    <xf numFmtId="2" fontId="16" fillId="0" borderId="40" xfId="0" applyNumberFormat="1" applyFont="1" applyBorder="1" applyAlignment="1">
      <alignment horizontal="center" vertical="center"/>
    </xf>
    <xf numFmtId="0" fontId="28" fillId="9" borderId="0" xfId="0" applyFont="1" applyFill="1"/>
    <xf numFmtId="0" fontId="12" fillId="9" borderId="0" xfId="0" applyFont="1" applyFill="1" applyAlignment="1">
      <alignment horizontal="left" vertical="center" indent="1"/>
    </xf>
    <xf numFmtId="0" fontId="6" fillId="9" borderId="0" xfId="0" applyFont="1" applyFill="1" applyAlignment="1">
      <alignment vertical="center"/>
    </xf>
    <xf numFmtId="8" fontId="29" fillId="9" borderId="0" xfId="0" applyNumberFormat="1" applyFont="1" applyFill="1"/>
    <xf numFmtId="170" fontId="6" fillId="9" borderId="0" xfId="0" applyNumberFormat="1" applyFont="1" applyFill="1" applyAlignment="1">
      <alignment horizontal="right" vertical="center" indent="1"/>
    </xf>
    <xf numFmtId="166" fontId="0" fillId="0" borderId="25" xfId="0" applyNumberFormat="1" applyBorder="1" applyAlignment="1">
      <alignment horizontal="center" vertical="center"/>
    </xf>
    <xf numFmtId="170" fontId="0" fillId="0" borderId="25" xfId="0" applyNumberFormat="1" applyBorder="1" applyAlignment="1">
      <alignment horizontal="right" vertical="center" indent="1"/>
    </xf>
    <xf numFmtId="166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right" vertical="center" indent="1"/>
    </xf>
    <xf numFmtId="166" fontId="6" fillId="11" borderId="0" xfId="0" applyNumberFormat="1" applyFont="1" applyFill="1" applyAlignment="1">
      <alignment horizontal="center" vertical="center"/>
    </xf>
    <xf numFmtId="0" fontId="6" fillId="9" borderId="0" xfId="0" applyFont="1" applyFill="1" applyAlignment="1">
      <alignment horizontal="left" vertical="center" indent="1"/>
    </xf>
    <xf numFmtId="0" fontId="30" fillId="0" borderId="29" xfId="0" applyFont="1" applyBorder="1" applyAlignment="1">
      <alignment vertical="center" wrapText="1"/>
    </xf>
    <xf numFmtId="170" fontId="0" fillId="9" borderId="0" xfId="0" applyNumberFormat="1" applyFill="1" applyAlignment="1">
      <alignment horizontal="right" vertical="center" indent="1"/>
    </xf>
    <xf numFmtId="166" fontId="13" fillId="9" borderId="0" xfId="0" applyNumberFormat="1" applyFont="1" applyFill="1" applyAlignment="1">
      <alignment vertical="center"/>
    </xf>
    <xf numFmtId="0" fontId="13" fillId="9" borderId="0" xfId="0" applyFont="1" applyFill="1" applyAlignment="1">
      <alignment vertical="center"/>
    </xf>
    <xf numFmtId="0" fontId="33" fillId="0" borderId="0" xfId="0" applyFont="1" applyAlignment="1">
      <alignment vertical="center"/>
    </xf>
    <xf numFmtId="0" fontId="26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 textRotation="90"/>
    </xf>
    <xf numFmtId="169" fontId="4" fillId="5" borderId="4" xfId="0" applyNumberFormat="1" applyFont="1" applyFill="1" applyBorder="1" applyAlignment="1">
      <alignment horizontal="center" vertical="center"/>
    </xf>
    <xf numFmtId="169" fontId="4" fillId="5" borderId="5" xfId="0" applyNumberFormat="1" applyFont="1" applyFill="1" applyBorder="1" applyAlignment="1">
      <alignment horizontal="center" vertical="center"/>
    </xf>
    <xf numFmtId="169" fontId="4" fillId="5" borderId="6" xfId="0" applyNumberFormat="1" applyFont="1" applyFill="1" applyBorder="1" applyAlignment="1">
      <alignment horizontal="center" vertical="center"/>
    </xf>
    <xf numFmtId="169" fontId="4" fillId="4" borderId="4" xfId="0" applyNumberFormat="1" applyFont="1" applyFill="1" applyBorder="1" applyAlignment="1">
      <alignment horizontal="center" vertical="center"/>
    </xf>
    <xf numFmtId="169" fontId="4" fillId="4" borderId="5" xfId="0" applyNumberFormat="1" applyFont="1" applyFill="1" applyBorder="1" applyAlignment="1">
      <alignment horizontal="center" vertical="center"/>
    </xf>
    <xf numFmtId="169" fontId="4" fillId="4" borderId="6" xfId="0" applyNumberFormat="1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 textRotation="90"/>
    </xf>
    <xf numFmtId="0" fontId="22" fillId="6" borderId="28" xfId="0" applyFont="1" applyFill="1" applyBorder="1" applyAlignment="1">
      <alignment horizontal="center" vertical="center" textRotation="90"/>
    </xf>
    <xf numFmtId="0" fontId="22" fillId="6" borderId="30" xfId="0" applyFont="1" applyFill="1" applyBorder="1" applyAlignment="1">
      <alignment horizontal="center" vertical="center" textRotation="90"/>
    </xf>
    <xf numFmtId="0" fontId="22" fillId="6" borderId="24" xfId="0" applyFont="1" applyFill="1" applyBorder="1" applyAlignment="1">
      <alignment horizontal="center" vertical="center" textRotation="90" wrapText="1"/>
    </xf>
    <xf numFmtId="0" fontId="22" fillId="6" borderId="28" xfId="0" applyFont="1" applyFill="1" applyBorder="1" applyAlignment="1">
      <alignment horizontal="center" vertical="center" textRotation="90" wrapText="1"/>
    </xf>
    <xf numFmtId="0" fontId="22" fillId="6" borderId="30" xfId="0" applyFont="1" applyFill="1" applyBorder="1" applyAlignment="1">
      <alignment horizontal="center" vertical="center" textRotation="90" wrapText="1"/>
    </xf>
    <xf numFmtId="166" fontId="2" fillId="8" borderId="0" xfId="0" applyNumberFormat="1" applyFont="1" applyFill="1" applyAlignment="1">
      <alignment horizontal="center" vertical="center"/>
    </xf>
    <xf numFmtId="0" fontId="15" fillId="0" borderId="29" xfId="0" applyFont="1" applyBorder="1" applyAlignment="1">
      <alignment horizontal="left" vertical="center" wrapText="1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color theme="0" tint="-0.2499465926084170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0FFFF"/>
      <color rgb="FF1F8FB0"/>
      <color rgb="FFD52B1E"/>
      <color rgb="FF003262"/>
      <color rgb="FFFDB515"/>
      <color rgb="FFFFFF9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72975</xdr:colOff>
      <xdr:row>7</xdr:row>
      <xdr:rowOff>0</xdr:rowOff>
    </xdr:from>
    <xdr:to>
      <xdr:col>13</xdr:col>
      <xdr:colOff>180975</xdr:colOff>
      <xdr:row>10</xdr:row>
      <xdr:rowOff>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844B93CE-844D-2E63-FC4F-E5193AFDBF04}"/>
            </a:ext>
          </a:extLst>
        </xdr:cNvPr>
        <xdr:cNvSpPr/>
      </xdr:nvSpPr>
      <xdr:spPr>
        <a:xfrm flipH="1">
          <a:off x="11579175" y="1447800"/>
          <a:ext cx="108000" cy="657225"/>
        </a:xfrm>
        <a:prstGeom prst="leftBrace">
          <a:avLst>
            <a:gd name="adj1" fmla="val 50754"/>
            <a:gd name="adj2" fmla="val 50000"/>
          </a:avLst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67B6-C4D0-4727-9704-58D6444F2E4F}">
  <sheetPr>
    <tabColor theme="1" tint="0.499984740745262"/>
  </sheetPr>
  <dimension ref="B2:R34"/>
  <sheetViews>
    <sheetView showGridLines="0" topLeftCell="A16" zoomScale="115" zoomScaleNormal="115" workbookViewId="0">
      <selection activeCell="F18" sqref="F18"/>
    </sheetView>
  </sheetViews>
  <sheetFormatPr defaultColWidth="10" defaultRowHeight="14.45"/>
  <cols>
    <col min="1" max="1" width="3" style="1" customWidth="1"/>
    <col min="2" max="7" width="11.42578125" style="15" customWidth="1"/>
    <col min="8" max="10" width="11.42578125" style="1" customWidth="1"/>
    <col min="11" max="12" width="2.85546875" style="1" customWidth="1"/>
    <col min="13" max="15" width="14.28515625" style="1" customWidth="1"/>
    <col min="16" max="16" width="38.7109375" style="1" bestFit="1" customWidth="1"/>
    <col min="17" max="16384" width="10" style="1"/>
  </cols>
  <sheetData>
    <row r="2" spans="2:16">
      <c r="B2" s="157" t="s">
        <v>0</v>
      </c>
      <c r="C2" s="157"/>
      <c r="D2" s="157"/>
      <c r="E2" s="157"/>
      <c r="G2" s="158" t="s">
        <v>1</v>
      </c>
      <c r="H2" s="158"/>
      <c r="I2" s="158"/>
      <c r="M2" s="48" t="s">
        <v>2</v>
      </c>
      <c r="N2" s="49" t="s">
        <v>3</v>
      </c>
    </row>
    <row r="3" spans="2:16" s="15" customFormat="1">
      <c r="B3" s="43" t="s">
        <v>4</v>
      </c>
      <c r="C3" s="38" t="s">
        <v>5</v>
      </c>
      <c r="D3" s="38" t="s">
        <v>6</v>
      </c>
      <c r="E3" s="38" t="s">
        <v>7</v>
      </c>
      <c r="G3" s="47" t="s">
        <v>8</v>
      </c>
      <c r="H3" s="47" t="s">
        <v>9</v>
      </c>
      <c r="I3" s="47" t="s">
        <v>10</v>
      </c>
      <c r="M3" s="18" t="s">
        <v>11</v>
      </c>
      <c r="N3" s="50">
        <v>8000</v>
      </c>
      <c r="O3" s="1"/>
      <c r="P3" s="1"/>
    </row>
    <row r="4" spans="2:16">
      <c r="B4" s="24"/>
      <c r="C4" s="26"/>
      <c r="D4" s="26">
        <v>209650</v>
      </c>
      <c r="E4" s="119">
        <f t="shared" ref="E4:E13" si="0">IFERROR(D4/C4,0)</f>
        <v>0</v>
      </c>
      <c r="F4" s="1"/>
      <c r="G4" s="28">
        <v>0</v>
      </c>
      <c r="H4" s="121">
        <f t="shared" ref="H4:H12" si="1">1-G4</f>
        <v>1</v>
      </c>
      <c r="I4" s="122">
        <f t="shared" ref="I4:I12" si="2">D4*H4</f>
        <v>209650</v>
      </c>
      <c r="M4" s="18" t="s">
        <v>12</v>
      </c>
      <c r="N4" s="50">
        <v>6500</v>
      </c>
    </row>
    <row r="5" spans="2:16">
      <c r="B5" s="25"/>
      <c r="C5" s="27"/>
      <c r="D5" s="27"/>
      <c r="E5" s="119">
        <f t="shared" si="0"/>
        <v>0</v>
      </c>
      <c r="F5" s="1"/>
      <c r="G5" s="28">
        <v>0</v>
      </c>
      <c r="H5" s="121">
        <f t="shared" si="1"/>
        <v>1</v>
      </c>
      <c r="I5" s="122">
        <f t="shared" si="2"/>
        <v>0</v>
      </c>
    </row>
    <row r="6" spans="2:16">
      <c r="B6" s="25"/>
      <c r="C6" s="27"/>
      <c r="D6" s="27"/>
      <c r="E6" s="119">
        <f t="shared" si="0"/>
        <v>0</v>
      </c>
      <c r="F6" s="1"/>
      <c r="G6" s="28">
        <v>0</v>
      </c>
      <c r="H6" s="121">
        <f t="shared" si="1"/>
        <v>1</v>
      </c>
      <c r="I6" s="122">
        <f t="shared" si="2"/>
        <v>0</v>
      </c>
    </row>
    <row r="7" spans="2:16">
      <c r="B7" s="25"/>
      <c r="C7" s="27"/>
      <c r="D7" s="27"/>
      <c r="E7" s="119">
        <f t="shared" si="0"/>
        <v>0</v>
      </c>
      <c r="F7" s="1"/>
      <c r="G7" s="28">
        <v>0</v>
      </c>
      <c r="H7" s="121">
        <f t="shared" si="1"/>
        <v>1</v>
      </c>
      <c r="I7" s="122">
        <f t="shared" si="2"/>
        <v>0</v>
      </c>
    </row>
    <row r="8" spans="2:16">
      <c r="B8" s="25"/>
      <c r="C8" s="27"/>
      <c r="D8" s="27"/>
      <c r="E8" s="119">
        <f t="shared" si="0"/>
        <v>0</v>
      </c>
      <c r="F8" s="1"/>
      <c r="G8" s="28">
        <v>0</v>
      </c>
      <c r="H8" s="121">
        <f t="shared" si="1"/>
        <v>1</v>
      </c>
      <c r="I8" s="122">
        <f t="shared" si="2"/>
        <v>0</v>
      </c>
    </row>
    <row r="9" spans="2:16">
      <c r="B9" s="25"/>
      <c r="C9" s="27"/>
      <c r="D9" s="27"/>
      <c r="E9" s="119">
        <f t="shared" si="0"/>
        <v>0</v>
      </c>
      <c r="F9" s="1"/>
      <c r="G9" s="28">
        <v>0</v>
      </c>
      <c r="H9" s="121">
        <f t="shared" si="1"/>
        <v>1</v>
      </c>
      <c r="I9" s="122">
        <f t="shared" si="2"/>
        <v>0</v>
      </c>
    </row>
    <row r="10" spans="2:16" ht="15" customHeight="1">
      <c r="B10" s="25"/>
      <c r="C10" s="27"/>
      <c r="D10" s="27"/>
      <c r="E10" s="119">
        <f t="shared" si="0"/>
        <v>0</v>
      </c>
      <c r="F10" s="1"/>
      <c r="G10" s="28">
        <v>0</v>
      </c>
      <c r="H10" s="121">
        <f t="shared" si="1"/>
        <v>1</v>
      </c>
      <c r="I10" s="122">
        <f t="shared" si="2"/>
        <v>0</v>
      </c>
    </row>
    <row r="11" spans="2:16" ht="15" customHeight="1">
      <c r="B11" s="25"/>
      <c r="C11" s="27"/>
      <c r="D11" s="27"/>
      <c r="E11" s="119">
        <f t="shared" si="0"/>
        <v>0</v>
      </c>
      <c r="F11" s="1"/>
      <c r="G11" s="28">
        <v>0</v>
      </c>
      <c r="H11" s="121">
        <f t="shared" si="1"/>
        <v>1</v>
      </c>
      <c r="I11" s="122">
        <f t="shared" si="2"/>
        <v>0</v>
      </c>
      <c r="J11" s="152" t="s">
        <v>13</v>
      </c>
    </row>
    <row r="12" spans="2:16">
      <c r="B12" s="41"/>
      <c r="C12" s="42"/>
      <c r="D12" s="42"/>
      <c r="E12" s="120">
        <f t="shared" si="0"/>
        <v>0</v>
      </c>
      <c r="F12" s="1"/>
      <c r="G12" s="28">
        <v>0</v>
      </c>
      <c r="H12" s="123">
        <f t="shared" si="1"/>
        <v>1</v>
      </c>
      <c r="I12" s="124">
        <f t="shared" si="2"/>
        <v>0</v>
      </c>
      <c r="J12" s="153"/>
    </row>
    <row r="13" spans="2:16">
      <c r="B13" s="39" t="s">
        <v>14</v>
      </c>
      <c r="C13" s="39">
        <f>SUM(C4:C12)</f>
        <v>0</v>
      </c>
      <c r="D13" s="39">
        <f>SUM(D4:D12)</f>
        <v>209650</v>
      </c>
      <c r="E13" s="39">
        <f t="shared" si="0"/>
        <v>0</v>
      </c>
      <c r="F13" s="1"/>
      <c r="G13" s="1"/>
      <c r="I13" s="39">
        <f>SUM(I4:I12)</f>
        <v>209650</v>
      </c>
      <c r="J13" s="30">
        <f>IFERROR(I13/D13,0)</f>
        <v>1</v>
      </c>
    </row>
    <row r="14" spans="2:16" ht="15" thickBot="1">
      <c r="B14" s="44"/>
      <c r="C14" s="44"/>
      <c r="D14" s="44"/>
      <c r="E14" s="44"/>
      <c r="F14" s="44"/>
      <c r="G14" s="44"/>
      <c r="H14" s="44"/>
      <c r="I14" s="45"/>
      <c r="J14" s="45"/>
      <c r="K14" s="45"/>
      <c r="L14" s="45"/>
      <c r="M14" s="45"/>
      <c r="N14" s="45"/>
      <c r="O14" s="45"/>
      <c r="P14" s="45"/>
    </row>
    <row r="15" spans="2:16">
      <c r="B15"/>
      <c r="C15"/>
      <c r="D15"/>
      <c r="E15"/>
      <c r="F15"/>
      <c r="G15"/>
      <c r="H15"/>
    </row>
    <row r="16" spans="2:16">
      <c r="B16" s="154" t="s">
        <v>15</v>
      </c>
      <c r="C16" s="155"/>
      <c r="D16" s="155"/>
      <c r="E16" s="155"/>
      <c r="F16" s="155"/>
      <c r="G16" s="156"/>
      <c r="M16" s="48" t="s">
        <v>16</v>
      </c>
      <c r="N16" s="51" t="s">
        <v>3</v>
      </c>
      <c r="O16" s="51" t="s">
        <v>17</v>
      </c>
      <c r="P16" s="48" t="s">
        <v>18</v>
      </c>
    </row>
    <row r="17" spans="2:18" s="15" customFormat="1">
      <c r="B17" s="43" t="s">
        <v>4</v>
      </c>
      <c r="C17" s="38" t="s">
        <v>19</v>
      </c>
      <c r="D17" s="38" t="s">
        <v>20</v>
      </c>
      <c r="E17" s="38" t="s">
        <v>5</v>
      </c>
      <c r="F17" s="38" t="s">
        <v>6</v>
      </c>
      <c r="G17" s="38" t="s">
        <v>7</v>
      </c>
      <c r="H17" s="1"/>
      <c r="I17" s="1"/>
      <c r="J17" s="22"/>
      <c r="L17" s="22"/>
      <c r="M17" s="18" t="s">
        <v>21</v>
      </c>
      <c r="N17" s="52">
        <v>7500</v>
      </c>
      <c r="O17" s="52">
        <v>120000</v>
      </c>
      <c r="P17" s="18" t="s">
        <v>22</v>
      </c>
      <c r="R17" s="1"/>
    </row>
    <row r="18" spans="2:18">
      <c r="B18" s="24" t="s">
        <v>23</v>
      </c>
      <c r="C18" s="26"/>
      <c r="D18" s="26">
        <v>3</v>
      </c>
      <c r="E18" s="26">
        <v>65</v>
      </c>
      <c r="F18" s="26">
        <v>209650</v>
      </c>
      <c r="G18" s="119">
        <f t="shared" ref="G18:G29" si="3">IFERROR(F18/E18,0)</f>
        <v>3225.3846153846152</v>
      </c>
      <c r="L18" s="22"/>
      <c r="M18" s="18" t="s">
        <v>24</v>
      </c>
      <c r="N18" s="52">
        <v>6000</v>
      </c>
      <c r="O18" s="52">
        <v>100000</v>
      </c>
      <c r="P18" s="18" t="s">
        <v>25</v>
      </c>
    </row>
    <row r="19" spans="2:18">
      <c r="B19" s="25" t="s">
        <v>26</v>
      </c>
      <c r="C19" s="27"/>
      <c r="D19" s="27"/>
      <c r="E19" s="26"/>
      <c r="F19" s="26"/>
      <c r="G19" s="119">
        <f t="shared" si="3"/>
        <v>0</v>
      </c>
      <c r="L19" s="22"/>
      <c r="M19" s="18" t="s">
        <v>27</v>
      </c>
      <c r="N19" s="52">
        <v>4000</v>
      </c>
      <c r="O19" s="52">
        <v>85000</v>
      </c>
      <c r="P19" s="18" t="s">
        <v>28</v>
      </c>
    </row>
    <row r="20" spans="2:18">
      <c r="B20" s="24" t="s">
        <v>29</v>
      </c>
      <c r="C20" s="27"/>
      <c r="D20" s="27"/>
      <c r="E20" s="26"/>
      <c r="F20" s="26"/>
      <c r="G20" s="119">
        <f t="shared" si="3"/>
        <v>0</v>
      </c>
      <c r="L20" s="22"/>
      <c r="M20" s="18" t="s">
        <v>30</v>
      </c>
      <c r="N20" s="52">
        <v>3000</v>
      </c>
      <c r="O20" s="52">
        <v>75000</v>
      </c>
      <c r="P20" s="18" t="s">
        <v>31</v>
      </c>
    </row>
    <row r="21" spans="2:18">
      <c r="B21" s="25" t="s">
        <v>32</v>
      </c>
      <c r="C21" s="27"/>
      <c r="D21" s="27"/>
      <c r="E21" s="26"/>
      <c r="F21" s="26"/>
      <c r="G21" s="119">
        <f t="shared" si="3"/>
        <v>0</v>
      </c>
      <c r="L21" s="22"/>
      <c r="M21" s="18" t="s">
        <v>33</v>
      </c>
      <c r="N21" s="52">
        <v>2000</v>
      </c>
      <c r="O21" s="52">
        <v>60000</v>
      </c>
      <c r="P21" s="18" t="s">
        <v>34</v>
      </c>
    </row>
    <row r="22" spans="2:18">
      <c r="B22" s="24" t="s">
        <v>35</v>
      </c>
      <c r="C22" s="27"/>
      <c r="D22" s="27"/>
      <c r="E22" s="26"/>
      <c r="F22" s="26"/>
      <c r="G22" s="119">
        <f t="shared" si="3"/>
        <v>0</v>
      </c>
      <c r="L22" s="22"/>
    </row>
    <row r="23" spans="2:18">
      <c r="B23" s="25" t="s">
        <v>36</v>
      </c>
      <c r="C23" s="27"/>
      <c r="D23" s="27"/>
      <c r="E23" s="27"/>
      <c r="F23" s="27"/>
      <c r="G23" s="119">
        <f t="shared" si="3"/>
        <v>0</v>
      </c>
      <c r="L23" s="22"/>
    </row>
    <row r="24" spans="2:18">
      <c r="B24" s="25" t="s">
        <v>37</v>
      </c>
      <c r="C24" s="27"/>
      <c r="D24" s="27"/>
      <c r="E24" s="27"/>
      <c r="F24" s="27"/>
      <c r="G24" s="119">
        <f t="shared" si="3"/>
        <v>0</v>
      </c>
      <c r="L24" s="22"/>
    </row>
    <row r="25" spans="2:18">
      <c r="B25" s="25" t="s">
        <v>38</v>
      </c>
      <c r="C25" s="27"/>
      <c r="D25" s="27"/>
      <c r="E25" s="27"/>
      <c r="F25" s="27"/>
      <c r="G25" s="119">
        <f t="shared" si="3"/>
        <v>0</v>
      </c>
      <c r="L25" s="22"/>
    </row>
    <row r="26" spans="2:18">
      <c r="B26" s="25" t="s">
        <v>39</v>
      </c>
      <c r="C26" s="27"/>
      <c r="D26" s="27"/>
      <c r="E26" s="27"/>
      <c r="F26" s="27"/>
      <c r="G26" s="119">
        <f t="shared" si="3"/>
        <v>0</v>
      </c>
      <c r="L26" s="22"/>
    </row>
    <row r="27" spans="2:18">
      <c r="B27" s="25" t="s">
        <v>40</v>
      </c>
      <c r="C27" s="27"/>
      <c r="D27" s="27"/>
      <c r="E27" s="27"/>
      <c r="F27" s="27"/>
      <c r="G27" s="119">
        <f t="shared" si="3"/>
        <v>0</v>
      </c>
      <c r="L27" s="22"/>
    </row>
    <row r="28" spans="2:18">
      <c r="B28" s="41"/>
      <c r="C28" s="42"/>
      <c r="D28" s="42"/>
      <c r="E28" s="42"/>
      <c r="F28" s="42"/>
      <c r="G28" s="120">
        <f t="shared" si="3"/>
        <v>0</v>
      </c>
    </row>
    <row r="29" spans="2:18">
      <c r="B29" s="39" t="s">
        <v>14</v>
      </c>
      <c r="C29" s="40">
        <f>SUM(C18:C28)</f>
        <v>0</v>
      </c>
      <c r="D29" s="40">
        <f>SUM(D18:D28)</f>
        <v>3</v>
      </c>
      <c r="E29" s="39">
        <f>SUM(E18:E28)</f>
        <v>65</v>
      </c>
      <c r="F29" s="39">
        <f>SUM(F18:F28)</f>
        <v>209650</v>
      </c>
      <c r="G29" s="39">
        <f t="shared" si="3"/>
        <v>3225.3846153846152</v>
      </c>
      <c r="I29" s="29">
        <f>IFERROR(F29/D29,0)</f>
        <v>69883.333333333328</v>
      </c>
    </row>
    <row r="30" spans="2:18">
      <c r="B30" s="23"/>
      <c r="C30" s="23"/>
      <c r="D30" s="23"/>
      <c r="F30" s="1"/>
    </row>
    <row r="31" spans="2:18">
      <c r="B31" s="23"/>
      <c r="C31" s="23"/>
      <c r="D31" s="23"/>
      <c r="F31" s="1"/>
    </row>
    <row r="32" spans="2:18">
      <c r="B32" s="23"/>
      <c r="C32" s="23"/>
      <c r="D32" s="23"/>
      <c r="F32" s="1"/>
    </row>
    <row r="33" spans="2:6">
      <c r="B33" s="23"/>
      <c r="C33" s="23"/>
      <c r="D33" s="23"/>
      <c r="F33" s="1"/>
    </row>
    <row r="34" spans="2:6">
      <c r="B34" s="23"/>
      <c r="C34" s="23"/>
      <c r="D34" s="23"/>
    </row>
  </sheetData>
  <mergeCells count="4">
    <mergeCell ref="J11:J12"/>
    <mergeCell ref="B16:G16"/>
    <mergeCell ref="B2:E2"/>
    <mergeCell ref="G2:I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CD3F0-4AC5-4327-9714-035194542DCF}">
  <sheetPr>
    <tabColor theme="1" tint="0.249977111117893"/>
  </sheetPr>
  <dimension ref="B1:AJ59"/>
  <sheetViews>
    <sheetView showGridLines="0" zoomScale="205" zoomScaleNormal="205" workbookViewId="0">
      <pane ySplit="2" topLeftCell="A38" activePane="bottomLeft" state="frozen"/>
      <selection pane="bottomLeft" activeCell="I34" sqref="I34"/>
      <selection activeCell="F54" sqref="F54"/>
    </sheetView>
  </sheetViews>
  <sheetFormatPr defaultColWidth="8.85546875" defaultRowHeight="14.45" outlineLevelCol="1"/>
  <cols>
    <col min="1" max="1" width="3" style="1" customWidth="1"/>
    <col min="2" max="2" width="6.42578125" style="1" customWidth="1"/>
    <col min="3" max="3" width="1.42578125" style="1" customWidth="1"/>
    <col min="4" max="4" width="57.140625" style="1" customWidth="1"/>
    <col min="5" max="6" width="20" style="60" hidden="1" customWidth="1" outlineLevel="1"/>
    <col min="7" max="7" width="3" style="1" customWidth="1" collapsed="1"/>
    <col min="8" max="11" width="12.85546875" style="1" customWidth="1"/>
    <col min="12" max="12" width="3" style="1" customWidth="1"/>
    <col min="13" max="13" width="10" style="21" customWidth="1"/>
    <col min="14" max="14" width="3" style="1" customWidth="1"/>
    <col min="15" max="15" width="40" style="96" customWidth="1"/>
    <col min="16" max="16" width="10" style="1" customWidth="1"/>
    <col min="17" max="17" width="3" style="1" customWidth="1"/>
    <col min="18" max="18" width="8.85546875" style="37"/>
    <col min="19" max="16384" width="8.85546875" style="1"/>
  </cols>
  <sheetData>
    <row r="1" spans="2:36" ht="15" thickBot="1"/>
    <row r="2" spans="2:36" ht="15" thickBot="1">
      <c r="G2" s="61" t="s">
        <v>41</v>
      </c>
      <c r="H2" s="160">
        <f>' SIZE '!D13</f>
        <v>209650</v>
      </c>
      <c r="I2" s="161"/>
      <c r="J2" s="161"/>
      <c r="K2" s="162"/>
      <c r="M2" s="62"/>
      <c r="O2" s="97" t="s">
        <v>13</v>
      </c>
    </row>
    <row r="3" spans="2:36" ht="15" thickBot="1">
      <c r="G3" s="61" t="s">
        <v>42</v>
      </c>
      <c r="H3" s="163">
        <f>H2*O3</f>
        <v>209650</v>
      </c>
      <c r="I3" s="164"/>
      <c r="J3" s="164"/>
      <c r="K3" s="165"/>
      <c r="M3" s="62"/>
      <c r="O3" s="98">
        <f>' SIZE '!J13</f>
        <v>1</v>
      </c>
    </row>
    <row r="4" spans="2:36" ht="7.5" customHeight="1">
      <c r="M4" s="62"/>
    </row>
    <row r="5" spans="2:36" s="63" customFormat="1" ht="15.95">
      <c r="D5" s="64"/>
      <c r="E5" s="65" t="s">
        <v>43</v>
      </c>
      <c r="F5" s="65" t="s">
        <v>44</v>
      </c>
      <c r="H5" s="66" t="s">
        <v>45</v>
      </c>
      <c r="I5" s="66" t="s">
        <v>46</v>
      </c>
      <c r="J5" s="66" t="s">
        <v>47</v>
      </c>
      <c r="K5" s="66" t="s">
        <v>48</v>
      </c>
      <c r="M5" s="67" t="s">
        <v>49</v>
      </c>
      <c r="O5" s="99" t="s">
        <v>50</v>
      </c>
      <c r="P5" s="68"/>
      <c r="Q5" s="1"/>
      <c r="R5" s="69"/>
    </row>
    <row r="6" spans="2:36" ht="17.25" customHeight="1">
      <c r="B6" s="166" t="s">
        <v>51</v>
      </c>
      <c r="C6" s="76"/>
      <c r="D6" s="77" t="s">
        <v>52</v>
      </c>
      <c r="E6" s="78" t="s">
        <v>53</v>
      </c>
      <c r="F6" s="78" t="s">
        <v>54</v>
      </c>
      <c r="G6" s="79"/>
      <c r="H6" s="80"/>
      <c r="I6" s="141">
        <f>IF(AND($I$9=0,$H$3&lt;200000),1,0)</f>
        <v>0</v>
      </c>
      <c r="J6" s="142">
        <f t="shared" ref="J6:J18" si="0">IFERROR(H6*I6,0)</f>
        <v>0</v>
      </c>
      <c r="K6" s="142">
        <v>0</v>
      </c>
      <c r="L6" s="79"/>
      <c r="M6" s="82">
        <f>IFERROR(J6/$H$2,0)</f>
        <v>0</v>
      </c>
      <c r="N6" s="79"/>
      <c r="O6" s="100" t="s">
        <v>55</v>
      </c>
      <c r="R6" s="35"/>
    </row>
    <row r="7" spans="2:36" ht="17.25" customHeight="1">
      <c r="B7" s="167"/>
      <c r="D7" s="2" t="s">
        <v>56</v>
      </c>
      <c r="E7" s="16" t="s">
        <v>53</v>
      </c>
      <c r="F7" s="16" t="s">
        <v>57</v>
      </c>
      <c r="G7" s="3"/>
      <c r="H7" s="59"/>
      <c r="I7" s="143">
        <f>IF(AND($I$9=0,$H$3&gt;=200000,$H$3&lt;400000),1,0)</f>
        <v>1</v>
      </c>
      <c r="J7" s="144">
        <f t="shared" ref="J7" si="1">IFERROR(H7*I7,0)</f>
        <v>0</v>
      </c>
      <c r="K7" s="144">
        <v>0</v>
      </c>
      <c r="L7" s="3"/>
      <c r="M7" s="19">
        <f t="shared" ref="M7" si="2">IFERROR(J7/$H$2,0)</f>
        <v>0</v>
      </c>
      <c r="N7" s="3"/>
      <c r="O7" s="101" t="s">
        <v>58</v>
      </c>
      <c r="R7" s="35"/>
    </row>
    <row r="8" spans="2:36" ht="17.25" customHeight="1">
      <c r="B8" s="167"/>
      <c r="D8" s="2" t="s">
        <v>59</v>
      </c>
      <c r="E8" s="16" t="s">
        <v>53</v>
      </c>
      <c r="F8" s="16" t="s">
        <v>60</v>
      </c>
      <c r="G8" s="3"/>
      <c r="H8" s="148"/>
      <c r="I8" s="143">
        <f>IF(AND($I$9=0,$H$3&gt;=400000,$H$3&lt;700000),1,0)</f>
        <v>0</v>
      </c>
      <c r="J8" s="144">
        <f t="shared" si="0"/>
        <v>0</v>
      </c>
      <c r="K8" s="144">
        <v>0</v>
      </c>
      <c r="L8" s="3"/>
      <c r="M8" s="19">
        <f t="shared" ref="M8:M49" si="3">IFERROR(J8/$H$2,0)</f>
        <v>0</v>
      </c>
      <c r="N8" s="3"/>
      <c r="O8" s="101" t="s">
        <v>61</v>
      </c>
      <c r="R8" s="35"/>
    </row>
    <row r="9" spans="2:36" ht="29.25" customHeight="1">
      <c r="B9" s="167"/>
      <c r="D9" s="2" t="s">
        <v>62</v>
      </c>
      <c r="E9" s="16" t="s">
        <v>53</v>
      </c>
      <c r="F9" s="16" t="s">
        <v>63</v>
      </c>
      <c r="G9" s="3"/>
      <c r="H9" s="59"/>
      <c r="I9" s="143">
        <v>0</v>
      </c>
      <c r="J9" s="144">
        <f t="shared" ref="J9:J10" si="4">IFERROR(H9*I9,0)</f>
        <v>0</v>
      </c>
      <c r="K9" s="144">
        <v>0</v>
      </c>
      <c r="L9" s="3"/>
      <c r="M9" s="19">
        <f t="shared" si="3"/>
        <v>0</v>
      </c>
      <c r="N9" s="3"/>
      <c r="O9" s="147" t="s">
        <v>64</v>
      </c>
      <c r="R9" s="35"/>
      <c r="AJ9" s="151"/>
    </row>
    <row r="10" spans="2:36" ht="26.25" customHeight="1">
      <c r="B10" s="167"/>
      <c r="D10" s="2" t="s">
        <v>65</v>
      </c>
      <c r="E10" s="16" t="s">
        <v>53</v>
      </c>
      <c r="F10" s="16" t="s">
        <v>66</v>
      </c>
      <c r="G10" s="3"/>
      <c r="H10" s="59"/>
      <c r="I10" s="83">
        <v>0</v>
      </c>
      <c r="J10" s="59">
        <f t="shared" si="4"/>
        <v>0</v>
      </c>
      <c r="K10" s="59">
        <v>0</v>
      </c>
      <c r="L10" s="3"/>
      <c r="M10" s="19">
        <f t="shared" si="3"/>
        <v>0</v>
      </c>
      <c r="N10" s="3"/>
      <c r="O10" s="101" t="s">
        <v>67</v>
      </c>
      <c r="R10" s="149" t="s">
        <v>68</v>
      </c>
      <c r="S10" s="150"/>
      <c r="T10" s="150"/>
      <c r="U10" s="150"/>
      <c r="Z10" s="150" t="s">
        <v>69</v>
      </c>
      <c r="AA10" s="150"/>
      <c r="AB10" s="150"/>
      <c r="AC10" s="150"/>
      <c r="AD10" s="150"/>
    </row>
    <row r="11" spans="2:36" ht="17.25" customHeight="1">
      <c r="B11" s="167"/>
      <c r="D11" s="2" t="s">
        <v>70</v>
      </c>
      <c r="E11" s="16" t="s">
        <v>53</v>
      </c>
      <c r="F11" s="16" t="s">
        <v>71</v>
      </c>
      <c r="G11" s="3"/>
      <c r="H11" s="59"/>
      <c r="I11" s="83">
        <v>0</v>
      </c>
      <c r="J11" s="59">
        <f t="shared" ref="J11" si="5">IFERROR(H11*I11,0)</f>
        <v>0</v>
      </c>
      <c r="K11" s="59">
        <v>0</v>
      </c>
      <c r="L11" s="3"/>
      <c r="M11" s="19">
        <f t="shared" ref="M11" si="6">IFERROR(J11/$H$2,0)</f>
        <v>0</v>
      </c>
      <c r="N11" s="3"/>
      <c r="O11" s="101" t="s">
        <v>72</v>
      </c>
      <c r="R11" s="35" t="s">
        <v>73</v>
      </c>
      <c r="Z11" s="1" t="s">
        <v>74</v>
      </c>
    </row>
    <row r="12" spans="2:36" ht="17.25" customHeight="1">
      <c r="B12" s="167"/>
      <c r="D12" s="2" t="s">
        <v>75</v>
      </c>
      <c r="E12" s="16" t="s">
        <v>76</v>
      </c>
      <c r="F12" s="16" t="s">
        <v>77</v>
      </c>
      <c r="G12" s="3"/>
      <c r="H12" s="59"/>
      <c r="I12" s="83">
        <v>1</v>
      </c>
      <c r="J12" s="59">
        <f>IFERROR(H12*I12,0)</f>
        <v>0</v>
      </c>
      <c r="K12" s="59">
        <v>0</v>
      </c>
      <c r="L12" s="3"/>
      <c r="M12" s="19">
        <f t="shared" si="3"/>
        <v>0</v>
      </c>
      <c r="N12" s="3"/>
      <c r="O12" s="101" t="s">
        <v>78</v>
      </c>
      <c r="P12" s="36"/>
      <c r="R12" s="1"/>
    </row>
    <row r="13" spans="2:36" ht="17.25" customHeight="1">
      <c r="B13" s="167"/>
      <c r="D13" s="2" t="s">
        <v>79</v>
      </c>
      <c r="E13" s="16" t="s">
        <v>53</v>
      </c>
      <c r="F13" s="16" t="s">
        <v>80</v>
      </c>
      <c r="G13" s="3"/>
      <c r="H13" s="59"/>
      <c r="I13" s="83">
        <v>0</v>
      </c>
      <c r="J13" s="59">
        <f t="shared" ref="J13:J14" si="7">IFERROR(H13*I13,0)</f>
        <v>0</v>
      </c>
      <c r="K13" s="59">
        <v>0</v>
      </c>
      <c r="L13" s="3"/>
      <c r="M13" s="19">
        <f t="shared" si="3"/>
        <v>0</v>
      </c>
      <c r="N13" s="3"/>
      <c r="O13" s="101" t="s">
        <v>81</v>
      </c>
      <c r="R13" s="35"/>
    </row>
    <row r="14" spans="2:36" ht="17.25" customHeight="1">
      <c r="B14" s="167"/>
      <c r="D14" s="2" t="s">
        <v>82</v>
      </c>
      <c r="E14" s="16" t="s">
        <v>53</v>
      </c>
      <c r="F14" s="16" t="s">
        <v>83</v>
      </c>
      <c r="G14" s="3"/>
      <c r="H14" s="148"/>
      <c r="I14" s="83">
        <v>0</v>
      </c>
      <c r="J14" s="59">
        <f t="shared" si="7"/>
        <v>0</v>
      </c>
      <c r="K14" s="59">
        <v>0</v>
      </c>
      <c r="L14" s="3"/>
      <c r="M14" s="19">
        <f t="shared" si="3"/>
        <v>0</v>
      </c>
      <c r="N14" s="3"/>
      <c r="O14" s="101" t="s">
        <v>84</v>
      </c>
      <c r="R14" s="35"/>
    </row>
    <row r="15" spans="2:36" ht="17.25" customHeight="1">
      <c r="B15" s="167"/>
      <c r="D15" s="2" t="s">
        <v>85</v>
      </c>
      <c r="E15" s="16" t="s">
        <v>53</v>
      </c>
      <c r="F15" s="16" t="s">
        <v>86</v>
      </c>
      <c r="G15" s="3"/>
      <c r="H15" s="148"/>
      <c r="I15" s="83">
        <v>1</v>
      </c>
      <c r="J15" s="59">
        <f t="shared" ref="J15" si="8">IFERROR(H15*I15,0)</f>
        <v>0</v>
      </c>
      <c r="K15" s="59">
        <v>0</v>
      </c>
      <c r="L15" s="3"/>
      <c r="M15" s="19">
        <f t="shared" si="3"/>
        <v>0</v>
      </c>
      <c r="N15" s="3"/>
      <c r="O15" s="101" t="s">
        <v>87</v>
      </c>
      <c r="R15" s="35"/>
    </row>
    <row r="16" spans="2:36" ht="17.25" customHeight="1">
      <c r="B16" s="167"/>
      <c r="D16" s="2" t="s">
        <v>88</v>
      </c>
      <c r="E16" s="16" t="s">
        <v>53</v>
      </c>
      <c r="F16" s="16" t="s">
        <v>89</v>
      </c>
      <c r="G16" s="3"/>
      <c r="H16" s="59"/>
      <c r="I16" s="83">
        <f>ROUNDUP(' SIZE '!C13*O3,0)</f>
        <v>0</v>
      </c>
      <c r="J16" s="59">
        <f t="shared" ref="J16" si="9">IFERROR(H16*I16,0)</f>
        <v>0</v>
      </c>
      <c r="K16" s="59">
        <v>0</v>
      </c>
      <c r="L16" s="3"/>
      <c r="M16" s="19">
        <f t="shared" si="3"/>
        <v>0</v>
      </c>
      <c r="N16" s="3"/>
      <c r="O16" s="101" t="s">
        <v>90</v>
      </c>
      <c r="R16" s="35"/>
    </row>
    <row r="17" spans="2:18" ht="17.25" customHeight="1">
      <c r="B17" s="167"/>
      <c r="D17" s="2" t="s">
        <v>91</v>
      </c>
      <c r="E17" s="16" t="s">
        <v>53</v>
      </c>
      <c r="F17" s="16" t="s">
        <v>92</v>
      </c>
      <c r="G17" s="3"/>
      <c r="H17" s="59"/>
      <c r="I17" s="83">
        <v>1</v>
      </c>
      <c r="J17" s="59">
        <f t="shared" si="0"/>
        <v>0</v>
      </c>
      <c r="K17" s="59">
        <v>0</v>
      </c>
      <c r="L17" s="3"/>
      <c r="M17" s="19">
        <f t="shared" si="3"/>
        <v>0</v>
      </c>
      <c r="N17" s="3"/>
      <c r="O17" s="101" t="s">
        <v>93</v>
      </c>
      <c r="R17" s="35"/>
    </row>
    <row r="18" spans="2:18" ht="17.25" customHeight="1">
      <c r="B18" s="168"/>
      <c r="C18" s="84"/>
      <c r="D18" s="85" t="s">
        <v>94</v>
      </c>
      <c r="E18" s="86" t="s">
        <v>95</v>
      </c>
      <c r="F18" s="86" t="s">
        <v>95</v>
      </c>
      <c r="G18" s="87"/>
      <c r="H18" s="88"/>
      <c r="I18" s="89">
        <f>I17</f>
        <v>1</v>
      </c>
      <c r="J18" s="88">
        <f t="shared" si="0"/>
        <v>0</v>
      </c>
      <c r="K18" s="88">
        <v>0</v>
      </c>
      <c r="L18" s="87"/>
      <c r="M18" s="90">
        <f t="shared" si="3"/>
        <v>0</v>
      </c>
      <c r="N18" s="87"/>
      <c r="O18" s="102" t="s">
        <v>93</v>
      </c>
      <c r="R18" s="35"/>
    </row>
    <row r="19" spans="2:18" ht="7.5" customHeight="1">
      <c r="D19" s="2"/>
      <c r="E19" s="16"/>
      <c r="F19" s="16"/>
      <c r="G19" s="3"/>
      <c r="H19" s="59"/>
      <c r="I19" s="70"/>
      <c r="J19" s="59"/>
      <c r="K19" s="59"/>
      <c r="L19" s="3"/>
      <c r="M19" s="94"/>
      <c r="N19" s="3"/>
      <c r="O19" s="103"/>
      <c r="R19" s="35"/>
    </row>
    <row r="20" spans="2:18" ht="17.25" customHeight="1">
      <c r="B20" s="169" t="s">
        <v>96</v>
      </c>
      <c r="C20" s="76"/>
      <c r="D20" s="77" t="s">
        <v>97</v>
      </c>
      <c r="E20" s="92" t="s">
        <v>95</v>
      </c>
      <c r="F20" s="92" t="s">
        <v>95</v>
      </c>
      <c r="G20" s="79"/>
      <c r="H20" s="80"/>
      <c r="I20" s="81">
        <f>CEILING(I16*100,500)</f>
        <v>0</v>
      </c>
      <c r="J20" s="80">
        <f t="shared" ref="J20:J21" si="10">IFERROR(H20*I20,0)</f>
        <v>0</v>
      </c>
      <c r="K20" s="80">
        <v>0</v>
      </c>
      <c r="L20" s="79"/>
      <c r="M20" s="82">
        <f t="shared" si="3"/>
        <v>0</v>
      </c>
      <c r="N20" s="79"/>
      <c r="O20" s="100" t="s">
        <v>98</v>
      </c>
      <c r="R20" s="35"/>
    </row>
    <row r="21" spans="2:18" ht="17.25" customHeight="1">
      <c r="B21" s="170"/>
      <c r="D21" s="2" t="s">
        <v>99</v>
      </c>
      <c r="E21" s="93" t="s">
        <v>95</v>
      </c>
      <c r="F21" s="93" t="s">
        <v>95</v>
      </c>
      <c r="G21" s="3"/>
      <c r="H21" s="59"/>
      <c r="I21" s="83">
        <f>ROUNDUP(I23*3*110%,0)</f>
        <v>-4</v>
      </c>
      <c r="J21" s="59">
        <f t="shared" si="10"/>
        <v>0</v>
      </c>
      <c r="K21" s="59">
        <v>0</v>
      </c>
      <c r="L21" s="3"/>
      <c r="M21" s="19">
        <f t="shared" si="3"/>
        <v>0</v>
      </c>
      <c r="N21" s="3"/>
      <c r="O21" s="101" t="s">
        <v>100</v>
      </c>
      <c r="R21" s="35"/>
    </row>
    <row r="22" spans="2:18" ht="17.25" customHeight="1">
      <c r="B22" s="170"/>
      <c r="D22" s="2" t="s">
        <v>101</v>
      </c>
      <c r="E22" s="93" t="s">
        <v>95</v>
      </c>
      <c r="F22" s="93" t="s">
        <v>95</v>
      </c>
      <c r="G22" s="3"/>
      <c r="H22" s="59"/>
      <c r="I22" s="83">
        <f>CEILING(I10*650,500)</f>
        <v>0</v>
      </c>
      <c r="J22" s="59">
        <f t="shared" ref="J22" si="11">IFERROR(H22*I22,0)</f>
        <v>0</v>
      </c>
      <c r="K22" s="59">
        <v>0</v>
      </c>
      <c r="L22" s="3"/>
      <c r="M22" s="19">
        <f t="shared" si="3"/>
        <v>0</v>
      </c>
      <c r="N22" s="3"/>
      <c r="O22" s="101" t="s">
        <v>102</v>
      </c>
      <c r="Q22" s="1" t="s">
        <v>103</v>
      </c>
      <c r="R22" s="35"/>
    </row>
    <row r="23" spans="2:18" ht="17.25" customHeight="1">
      <c r="B23" s="170"/>
      <c r="D23" s="2" t="s">
        <v>104</v>
      </c>
      <c r="E23" s="93" t="s">
        <v>95</v>
      </c>
      <c r="F23" s="93" t="s">
        <v>95</v>
      </c>
      <c r="G23" s="3"/>
      <c r="H23" s="59"/>
      <c r="I23" s="83">
        <f>I16-1</f>
        <v>-1</v>
      </c>
      <c r="J23" s="59">
        <f t="shared" ref="J23:J24" si="12">IFERROR(H23*I23,0)</f>
        <v>0</v>
      </c>
      <c r="K23" s="59">
        <v>0</v>
      </c>
      <c r="L23" s="3"/>
      <c r="M23" s="19">
        <f t="shared" si="3"/>
        <v>0</v>
      </c>
      <c r="N23" s="3"/>
      <c r="O23" s="101" t="s">
        <v>105</v>
      </c>
      <c r="R23" s="35"/>
    </row>
    <row r="24" spans="2:18" ht="17.25" customHeight="1">
      <c r="B24" s="170"/>
      <c r="D24" s="2" t="s">
        <v>106</v>
      </c>
      <c r="E24" s="93" t="s">
        <v>95</v>
      </c>
      <c r="F24" s="93" t="s">
        <v>95</v>
      </c>
      <c r="G24" s="3"/>
      <c r="H24" s="59"/>
      <c r="I24" s="83">
        <f>I16*2</f>
        <v>0</v>
      </c>
      <c r="J24" s="59">
        <f t="shared" si="12"/>
        <v>0</v>
      </c>
      <c r="K24" s="59">
        <v>0</v>
      </c>
      <c r="L24" s="3"/>
      <c r="M24" s="19">
        <f t="shared" si="3"/>
        <v>0</v>
      </c>
      <c r="N24" s="3"/>
      <c r="O24" s="101" t="s">
        <v>107</v>
      </c>
      <c r="R24" s="35"/>
    </row>
    <row r="25" spans="2:18" ht="17.25" customHeight="1">
      <c r="B25" s="171"/>
      <c r="C25" s="84"/>
      <c r="D25" s="85" t="s">
        <v>108</v>
      </c>
      <c r="E25" s="86" t="s">
        <v>95</v>
      </c>
      <c r="F25" s="86" t="s">
        <v>95</v>
      </c>
      <c r="G25" s="87"/>
      <c r="H25" s="88"/>
      <c r="I25" s="89">
        <v>1</v>
      </c>
      <c r="J25" s="88">
        <f t="shared" ref="J25" si="13">IFERROR(H25*I25,0)</f>
        <v>0</v>
      </c>
      <c r="K25" s="88">
        <v>0</v>
      </c>
      <c r="L25" s="87"/>
      <c r="M25" s="90">
        <f t="shared" si="3"/>
        <v>0</v>
      </c>
      <c r="N25" s="87"/>
      <c r="O25" s="102" t="s">
        <v>109</v>
      </c>
      <c r="R25" s="35"/>
    </row>
    <row r="26" spans="2:18" ht="7.5" customHeight="1">
      <c r="D26" s="2"/>
      <c r="E26" s="16"/>
      <c r="F26" s="16"/>
      <c r="G26" s="3"/>
      <c r="H26" s="59"/>
      <c r="I26" s="70"/>
      <c r="J26" s="59"/>
      <c r="K26" s="59"/>
      <c r="L26" s="3"/>
      <c r="M26" s="94"/>
      <c r="N26" s="3"/>
      <c r="O26" s="103"/>
      <c r="R26" s="35"/>
    </row>
    <row r="27" spans="2:18" ht="17.25" customHeight="1">
      <c r="B27" s="95" t="s">
        <v>110</v>
      </c>
      <c r="C27" s="76"/>
      <c r="D27" s="77" t="s">
        <v>111</v>
      </c>
      <c r="E27" s="92" t="s">
        <v>95</v>
      </c>
      <c r="F27" s="92" t="s">
        <v>95</v>
      </c>
      <c r="G27" s="79"/>
      <c r="H27" s="80"/>
      <c r="I27" s="81">
        <f>IF($B$27="NO",0,1)</f>
        <v>0</v>
      </c>
      <c r="J27" s="80">
        <f t="shared" ref="J27" si="14">IFERROR(H27*I27,0)</f>
        <v>0</v>
      </c>
      <c r="K27" s="80">
        <v>0</v>
      </c>
      <c r="L27" s="79"/>
      <c r="M27" s="82">
        <f t="shared" si="3"/>
        <v>0</v>
      </c>
      <c r="N27" s="79"/>
      <c r="O27" s="100" t="s">
        <v>93</v>
      </c>
      <c r="R27" s="35"/>
    </row>
    <row r="28" spans="2:18" ht="17.25" customHeight="1">
      <c r="B28" s="170" t="s">
        <v>112</v>
      </c>
      <c r="D28" s="2" t="s">
        <v>113</v>
      </c>
      <c r="E28" s="93" t="s">
        <v>95</v>
      </c>
      <c r="F28" s="93" t="s">
        <v>95</v>
      </c>
      <c r="G28" s="3"/>
      <c r="H28" s="59"/>
      <c r="I28" s="83">
        <v>0</v>
      </c>
      <c r="J28" s="59">
        <f t="shared" ref="J28:J30" si="15">IFERROR(H28*I28,0)</f>
        <v>0</v>
      </c>
      <c r="K28" s="59">
        <v>0</v>
      </c>
      <c r="L28" s="3"/>
      <c r="M28" s="19">
        <f t="shared" si="3"/>
        <v>0</v>
      </c>
      <c r="N28" s="3"/>
      <c r="O28" s="101" t="s">
        <v>114</v>
      </c>
      <c r="R28" s="35"/>
    </row>
    <row r="29" spans="2:18" ht="17.25" customHeight="1">
      <c r="B29" s="170"/>
      <c r="D29" s="2" t="s">
        <v>115</v>
      </c>
      <c r="E29" s="93" t="s">
        <v>95</v>
      </c>
      <c r="F29" s="93" t="s">
        <v>95</v>
      </c>
      <c r="G29" s="3"/>
      <c r="H29" s="59"/>
      <c r="I29" s="83">
        <f>IF($B$27="NO",0,I16)</f>
        <v>0</v>
      </c>
      <c r="J29" s="59">
        <f t="shared" si="15"/>
        <v>0</v>
      </c>
      <c r="K29" s="59">
        <v>0</v>
      </c>
      <c r="L29" s="3"/>
      <c r="M29" s="19">
        <f t="shared" si="3"/>
        <v>0</v>
      </c>
      <c r="N29" s="3"/>
      <c r="O29" s="101" t="s">
        <v>116</v>
      </c>
      <c r="R29" s="35"/>
    </row>
    <row r="30" spans="2:18" ht="17.25" customHeight="1">
      <c r="B30" s="170"/>
      <c r="D30" s="2" t="s">
        <v>117</v>
      </c>
      <c r="E30" s="93" t="s">
        <v>95</v>
      </c>
      <c r="F30" s="93" t="s">
        <v>95</v>
      </c>
      <c r="G30" s="3"/>
      <c r="H30" s="59"/>
      <c r="I30" s="83">
        <f>IF($B$27="NO",0,I16)</f>
        <v>0</v>
      </c>
      <c r="J30" s="59">
        <f t="shared" si="15"/>
        <v>0</v>
      </c>
      <c r="K30" s="59">
        <v>0</v>
      </c>
      <c r="L30" s="3"/>
      <c r="M30" s="19">
        <f t="shared" si="3"/>
        <v>0</v>
      </c>
      <c r="N30" s="3"/>
      <c r="O30" s="101" t="s">
        <v>116</v>
      </c>
      <c r="R30" s="35"/>
    </row>
    <row r="31" spans="2:18" ht="17.25" customHeight="1">
      <c r="B31" s="171"/>
      <c r="C31" s="84"/>
      <c r="D31" s="85" t="s">
        <v>118</v>
      </c>
      <c r="E31" s="86" t="s">
        <v>95</v>
      </c>
      <c r="F31" s="86" t="s">
        <v>95</v>
      </c>
      <c r="G31" s="87"/>
      <c r="H31" s="88"/>
      <c r="I31" s="89">
        <f>IF($B$27="NO",0,1)</f>
        <v>0</v>
      </c>
      <c r="J31" s="88">
        <f t="shared" ref="J31" si="16">IFERROR(H31*I31,0)</f>
        <v>0</v>
      </c>
      <c r="K31" s="88">
        <v>0</v>
      </c>
      <c r="L31" s="87"/>
      <c r="M31" s="90">
        <f t="shared" si="3"/>
        <v>0</v>
      </c>
      <c r="N31" s="87"/>
      <c r="O31" s="104"/>
      <c r="R31" s="35"/>
    </row>
    <row r="32" spans="2:18" ht="7.5" customHeight="1">
      <c r="D32" s="2"/>
      <c r="E32" s="16"/>
      <c r="F32" s="16"/>
      <c r="G32" s="3"/>
      <c r="H32" s="59"/>
      <c r="I32" s="70"/>
      <c r="J32" s="59"/>
      <c r="K32" s="59"/>
      <c r="L32" s="3"/>
      <c r="M32" s="94"/>
      <c r="N32" s="3"/>
      <c r="O32" s="105"/>
      <c r="R32" s="35"/>
    </row>
    <row r="33" spans="2:18" ht="17.25" customHeight="1">
      <c r="B33" s="169" t="s">
        <v>119</v>
      </c>
      <c r="C33" s="76"/>
      <c r="D33" s="77" t="s">
        <v>120</v>
      </c>
      <c r="E33" s="92" t="s">
        <v>95</v>
      </c>
      <c r="F33" s="92" t="s">
        <v>95</v>
      </c>
      <c r="G33" s="79"/>
      <c r="H33" s="80"/>
      <c r="I33" s="81">
        <f>$H$2/1000*O3</f>
        <v>209.65</v>
      </c>
      <c r="J33" s="80">
        <f>IFERROR(H33*I33,-1)</f>
        <v>0</v>
      </c>
      <c r="K33" s="80">
        <v>0</v>
      </c>
      <c r="L33" s="79"/>
      <c r="M33" s="82">
        <f t="shared" si="3"/>
        <v>0</v>
      </c>
      <c r="N33" s="79"/>
      <c r="O33" s="100" t="s">
        <v>121</v>
      </c>
      <c r="R33" s="35"/>
    </row>
    <row r="34" spans="2:18" ht="17.25" customHeight="1">
      <c r="B34" s="170"/>
      <c r="D34" s="2" t="s">
        <v>122</v>
      </c>
      <c r="E34" s="93" t="s">
        <v>95</v>
      </c>
      <c r="F34" s="93" t="s">
        <v>95</v>
      </c>
      <c r="G34" s="3"/>
      <c r="H34" s="148"/>
      <c r="I34" s="83">
        <f>$I$16</f>
        <v>0</v>
      </c>
      <c r="J34" s="59">
        <f>IFERROR(H34*I34,0)</f>
        <v>0</v>
      </c>
      <c r="K34" s="59">
        <v>0</v>
      </c>
      <c r="L34" s="3"/>
      <c r="M34" s="19">
        <f t="shared" si="3"/>
        <v>0</v>
      </c>
      <c r="N34" s="3"/>
      <c r="O34" s="101" t="s">
        <v>123</v>
      </c>
      <c r="P34" s="1" t="s">
        <v>124</v>
      </c>
      <c r="R34" s="35"/>
    </row>
    <row r="35" spans="2:18" ht="17.25" customHeight="1">
      <c r="B35" s="170"/>
      <c r="D35" s="2" t="s">
        <v>125</v>
      </c>
      <c r="E35" s="93" t="s">
        <v>95</v>
      </c>
      <c r="F35" s="93" t="s">
        <v>95</v>
      </c>
      <c r="G35" s="3"/>
      <c r="H35" s="59"/>
      <c r="I35" s="83">
        <v>1</v>
      </c>
      <c r="J35" s="59">
        <f>IFERROR(H35*I35,0)</f>
        <v>0</v>
      </c>
      <c r="K35" s="59">
        <v>0</v>
      </c>
      <c r="L35" s="3"/>
      <c r="M35" s="19">
        <f t="shared" si="3"/>
        <v>0</v>
      </c>
      <c r="N35" s="3"/>
      <c r="O35" s="101" t="s">
        <v>126</v>
      </c>
      <c r="P35" s="1" t="s">
        <v>127</v>
      </c>
      <c r="R35" s="35"/>
    </row>
    <row r="36" spans="2:18" ht="17.25" customHeight="1">
      <c r="B36" s="170"/>
      <c r="D36" s="2" t="s">
        <v>128</v>
      </c>
      <c r="E36" s="93" t="s">
        <v>95</v>
      </c>
      <c r="F36" s="93" t="s">
        <v>95</v>
      </c>
      <c r="G36" s="3"/>
      <c r="H36" s="59"/>
      <c r="I36" s="83">
        <v>2</v>
      </c>
      <c r="J36" s="59">
        <f>IFERROR(H36*I36,0)</f>
        <v>0</v>
      </c>
      <c r="K36" s="59">
        <v>0</v>
      </c>
      <c r="L36" s="3"/>
      <c r="M36" s="19">
        <f t="shared" si="3"/>
        <v>0</v>
      </c>
      <c r="N36" s="3"/>
      <c r="O36" s="101" t="s">
        <v>129</v>
      </c>
      <c r="R36" s="35"/>
    </row>
    <row r="37" spans="2:18" ht="17.25" customHeight="1">
      <c r="B37" s="170"/>
      <c r="D37" s="2" t="s">
        <v>130</v>
      </c>
      <c r="E37" s="93" t="s">
        <v>95</v>
      </c>
      <c r="F37" s="93" t="s">
        <v>95</v>
      </c>
      <c r="G37" s="3"/>
      <c r="H37" s="59"/>
      <c r="I37" s="83">
        <v>0</v>
      </c>
      <c r="J37" s="59">
        <f>IFERROR(H37*I37,0)</f>
        <v>0</v>
      </c>
      <c r="K37" s="59">
        <v>0</v>
      </c>
      <c r="L37" s="3"/>
      <c r="M37" s="19">
        <f t="shared" ref="M37" si="17">IFERROR(J37/$H$2,0)</f>
        <v>0</v>
      </c>
      <c r="N37" s="3"/>
      <c r="O37" s="101" t="s">
        <v>131</v>
      </c>
      <c r="R37" s="35"/>
    </row>
    <row r="38" spans="2:18" ht="17.25" customHeight="1">
      <c r="B38" s="170"/>
      <c r="D38" s="2" t="s">
        <v>132</v>
      </c>
      <c r="E38" s="93" t="s">
        <v>95</v>
      </c>
      <c r="F38" s="93" t="s">
        <v>95</v>
      </c>
      <c r="G38" s="3"/>
      <c r="H38" s="59"/>
      <c r="I38" s="83">
        <v>12</v>
      </c>
      <c r="J38" s="59">
        <v>0</v>
      </c>
      <c r="K38" s="59">
        <f>H38*I38</f>
        <v>0</v>
      </c>
      <c r="L38" s="3"/>
      <c r="M38" s="19">
        <f t="shared" si="3"/>
        <v>0</v>
      </c>
      <c r="N38" s="3"/>
      <c r="O38" s="101" t="s">
        <v>133</v>
      </c>
      <c r="R38" s="35"/>
    </row>
    <row r="39" spans="2:18" ht="17.25" customHeight="1">
      <c r="B39" s="171"/>
      <c r="C39" s="84"/>
      <c r="D39" s="85" t="s">
        <v>134</v>
      </c>
      <c r="E39" s="86" t="s">
        <v>95</v>
      </c>
      <c r="F39" s="86" t="s">
        <v>95</v>
      </c>
      <c r="G39" s="87"/>
      <c r="H39" s="88"/>
      <c r="I39" s="89">
        <v>1</v>
      </c>
      <c r="J39" s="88">
        <v>0</v>
      </c>
      <c r="K39" s="88">
        <f>H39*I39</f>
        <v>0</v>
      </c>
      <c r="L39" s="87"/>
      <c r="M39" s="90">
        <f t="shared" si="3"/>
        <v>0</v>
      </c>
      <c r="N39" s="87"/>
      <c r="O39" s="102" t="s">
        <v>109</v>
      </c>
      <c r="P39" s="17" t="s">
        <v>135</v>
      </c>
      <c r="R39" s="35"/>
    </row>
    <row r="40" spans="2:18" ht="15" customHeight="1" collapsed="1">
      <c r="D40" s="2"/>
      <c r="E40" s="2"/>
      <c r="F40" s="2"/>
      <c r="G40" s="3"/>
      <c r="H40" s="4"/>
      <c r="I40" s="4"/>
      <c r="J40" s="53"/>
      <c r="K40" s="53"/>
      <c r="L40" s="3"/>
      <c r="M40" s="91"/>
      <c r="N40" s="3"/>
      <c r="R40" s="35"/>
    </row>
    <row r="41" spans="2:18" ht="15" customHeight="1" collapsed="1">
      <c r="B41" s="6"/>
      <c r="C41" s="6"/>
      <c r="D41" s="7"/>
      <c r="E41" s="7"/>
      <c r="F41" s="7"/>
      <c r="G41" s="8"/>
      <c r="H41" s="9"/>
      <c r="I41" s="9"/>
      <c r="J41" s="54"/>
      <c r="K41" s="54"/>
      <c r="L41" s="3"/>
      <c r="M41" s="20"/>
      <c r="N41" s="3"/>
      <c r="R41" s="35"/>
    </row>
    <row r="42" spans="2:18" ht="22.5" customHeight="1">
      <c r="B42" s="159" t="s">
        <v>136</v>
      </c>
      <c r="D42" s="2" t="s">
        <v>137</v>
      </c>
      <c r="E42" s="1"/>
      <c r="F42" s="1"/>
      <c r="G42" s="3"/>
      <c r="H42" s="10"/>
      <c r="I42" s="4"/>
      <c r="J42" s="53">
        <f>SUM(J6:J18)*(1+I45)</f>
        <v>0</v>
      </c>
      <c r="K42" s="53">
        <f>SUM(K6:K18)</f>
        <v>0</v>
      </c>
      <c r="L42" s="3"/>
      <c r="M42" s="19">
        <f t="shared" si="3"/>
        <v>0</v>
      </c>
      <c r="N42" s="3"/>
    </row>
    <row r="43" spans="2:18" ht="22.5" customHeight="1">
      <c r="B43" s="159"/>
      <c r="D43" s="2" t="s">
        <v>138</v>
      </c>
      <c r="E43" s="16"/>
      <c r="F43" s="16"/>
      <c r="G43" s="3"/>
      <c r="H43" s="10"/>
      <c r="I43" s="4"/>
      <c r="J43" s="53">
        <f>SUM(J20:J30)*(1+I45)</f>
        <v>0</v>
      </c>
      <c r="K43" s="53">
        <f>SUM(K20:K30)</f>
        <v>0</v>
      </c>
      <c r="L43" s="3"/>
      <c r="M43" s="19">
        <f t="shared" si="3"/>
        <v>0</v>
      </c>
      <c r="N43" s="3"/>
    </row>
    <row r="44" spans="2:18" ht="22.5" customHeight="1">
      <c r="B44" s="159"/>
      <c r="D44" s="2" t="s">
        <v>139</v>
      </c>
      <c r="E44" s="16"/>
      <c r="F44" s="16"/>
      <c r="G44" s="3"/>
      <c r="H44" s="10"/>
      <c r="I44" s="4"/>
      <c r="J44" s="53">
        <f>SUM(J31:J39)</f>
        <v>0</v>
      </c>
      <c r="K44" s="53">
        <f>SUM(K31:K39)</f>
        <v>0</v>
      </c>
      <c r="L44" s="3"/>
      <c r="M44" s="19">
        <f t="shared" si="3"/>
        <v>0</v>
      </c>
      <c r="N44" s="3"/>
    </row>
    <row r="45" spans="2:18" s="71" customFormat="1" ht="22.5" customHeight="1" thickBot="1">
      <c r="B45" s="159"/>
      <c r="D45" s="32" t="s">
        <v>140</v>
      </c>
      <c r="E45" s="16"/>
      <c r="F45" s="16"/>
      <c r="H45" s="172"/>
      <c r="I45" s="172"/>
      <c r="J45" s="55">
        <f>SUM(J42:J44)</f>
        <v>0</v>
      </c>
      <c r="K45" s="55">
        <f>SUM(K6:K39)</f>
        <v>0</v>
      </c>
      <c r="M45" s="72"/>
      <c r="O45" s="106"/>
      <c r="Q45" s="1"/>
      <c r="R45" s="35"/>
    </row>
    <row r="46" spans="2:18" ht="22.5" customHeight="1" thickBot="1">
      <c r="B46" s="159"/>
      <c r="D46" s="2" t="s">
        <v>141</v>
      </c>
      <c r="E46" s="16"/>
      <c r="F46" s="16"/>
      <c r="G46" s="3"/>
      <c r="H46" s="5"/>
      <c r="I46" s="4"/>
      <c r="J46" s="53">
        <f>SUM(J42:J43)*H46</f>
        <v>0</v>
      </c>
      <c r="K46" s="53">
        <v>0</v>
      </c>
      <c r="L46" s="3"/>
      <c r="M46" s="19">
        <f t="shared" si="3"/>
        <v>0</v>
      </c>
      <c r="N46" s="3"/>
      <c r="O46" s="107" t="s">
        <v>141</v>
      </c>
      <c r="P46" s="56"/>
      <c r="Q46" s="46" t="s">
        <v>142</v>
      </c>
      <c r="R46" s="35"/>
    </row>
    <row r="47" spans="2:18" ht="22.5" customHeight="1" thickBot="1">
      <c r="B47" s="159"/>
      <c r="D47" s="2" t="s">
        <v>143</v>
      </c>
      <c r="E47" s="16"/>
      <c r="F47" s="16"/>
      <c r="G47" s="3"/>
      <c r="H47" s="5"/>
      <c r="I47" s="4"/>
      <c r="J47" s="53">
        <f>(J45-J36--J35-J33)*H47</f>
        <v>0</v>
      </c>
      <c r="K47" s="53">
        <v>0</v>
      </c>
      <c r="L47" s="3"/>
      <c r="M47" s="19">
        <f t="shared" si="3"/>
        <v>0</v>
      </c>
      <c r="N47" s="3"/>
      <c r="O47" s="107" t="s">
        <v>144</v>
      </c>
      <c r="P47" s="56"/>
      <c r="Q47" s="46" t="s">
        <v>145</v>
      </c>
      <c r="R47" s="35"/>
    </row>
    <row r="48" spans="2:18" ht="22.5" customHeight="1">
      <c r="B48" s="159"/>
      <c r="D48" s="2" t="s">
        <v>146</v>
      </c>
      <c r="E48" s="16"/>
      <c r="F48" s="16"/>
      <c r="G48" s="3"/>
      <c r="H48" s="5"/>
      <c r="I48" s="4"/>
      <c r="J48" s="53">
        <f>J45*H48</f>
        <v>0</v>
      </c>
      <c r="K48" s="53">
        <f>SUM(K42:K44)*H48</f>
        <v>0</v>
      </c>
      <c r="L48" s="3"/>
      <c r="M48" s="19">
        <f t="shared" si="3"/>
        <v>0</v>
      </c>
      <c r="N48" s="3"/>
      <c r="O48" s="107" t="s">
        <v>146</v>
      </c>
      <c r="P48" s="57"/>
      <c r="Q48" s="46" t="s">
        <v>147</v>
      </c>
      <c r="R48" s="35"/>
    </row>
    <row r="49" spans="2:18" s="71" customFormat="1" ht="22.5" customHeight="1">
      <c r="B49" s="159"/>
      <c r="D49" s="32" t="s">
        <v>14</v>
      </c>
      <c r="E49" s="16"/>
      <c r="F49" s="16"/>
      <c r="H49" s="172"/>
      <c r="I49" s="172"/>
      <c r="J49" s="55">
        <f>SUM(J45:J48)</f>
        <v>0</v>
      </c>
      <c r="K49" s="55">
        <f>SUM(K45:K48)</f>
        <v>0</v>
      </c>
      <c r="L49" s="3"/>
      <c r="M49" s="31">
        <f t="shared" si="3"/>
        <v>0</v>
      </c>
      <c r="N49" s="3"/>
      <c r="O49" s="108"/>
      <c r="P49" s="60"/>
      <c r="Q49" s="1"/>
      <c r="R49" s="35"/>
    </row>
    <row r="50" spans="2:18" s="60" customFormat="1" ht="6" customHeight="1">
      <c r="E50" s="16"/>
      <c r="F50" s="16"/>
      <c r="H50" s="73"/>
      <c r="I50" s="73"/>
      <c r="J50" s="74"/>
      <c r="M50" s="11"/>
      <c r="O50" s="96"/>
      <c r="P50" s="1"/>
      <c r="Q50" s="1"/>
      <c r="R50" s="36"/>
    </row>
    <row r="51" spans="2:18" s="60" customFormat="1">
      <c r="E51" s="16"/>
      <c r="F51" s="16"/>
      <c r="K51" s="74"/>
      <c r="M51" s="11"/>
      <c r="O51" s="96"/>
      <c r="P51" s="1"/>
      <c r="Q51" s="1"/>
      <c r="R51" s="36"/>
    </row>
    <row r="52" spans="2:18">
      <c r="E52" s="16"/>
      <c r="F52" s="16"/>
      <c r="H52" s="15"/>
      <c r="I52" s="15"/>
      <c r="J52" s="60"/>
    </row>
    <row r="53" spans="2:18">
      <c r="E53" s="16"/>
      <c r="F53" s="16"/>
      <c r="J53" s="75"/>
      <c r="K53" s="75"/>
    </row>
    <row r="54" spans="2:18">
      <c r="E54" s="16"/>
      <c r="F54" s="16"/>
      <c r="J54" s="75"/>
    </row>
    <row r="55" spans="2:18">
      <c r="E55" s="16"/>
      <c r="F55" s="16"/>
    </row>
    <row r="56" spans="2:18">
      <c r="E56" s="16"/>
      <c r="F56" s="16"/>
    </row>
    <row r="57" spans="2:18">
      <c r="E57" s="16"/>
      <c r="F57" s="16"/>
      <c r="J57" s="14"/>
    </row>
    <row r="58" spans="2:18">
      <c r="E58" s="16"/>
      <c r="F58" s="16"/>
    </row>
    <row r="59" spans="2:18">
      <c r="E59" s="16"/>
      <c r="F59" s="16"/>
    </row>
  </sheetData>
  <mergeCells count="9">
    <mergeCell ref="B42:B49"/>
    <mergeCell ref="H2:K2"/>
    <mergeCell ref="H3:K3"/>
    <mergeCell ref="B6:B18"/>
    <mergeCell ref="B20:B25"/>
    <mergeCell ref="B33:B39"/>
    <mergeCell ref="B28:B31"/>
    <mergeCell ref="H49:I49"/>
    <mergeCell ref="H45:I45"/>
  </mergeCells>
  <conditionalFormatting sqref="M6:M39">
    <cfRule type="colorScale" priority="54">
      <colorScale>
        <cfvo type="min"/>
        <cfvo type="max"/>
        <color theme="0"/>
        <color theme="7"/>
      </colorScale>
    </cfRule>
  </conditionalFormatting>
  <conditionalFormatting sqref="M42:M48">
    <cfRule type="colorScale" priority="1">
      <colorScale>
        <cfvo type="min"/>
        <cfvo type="max"/>
        <color theme="0"/>
        <color theme="5" tint="0.39997558519241921"/>
      </colorScale>
    </cfRule>
  </conditionalFormatting>
  <conditionalFormatting sqref="O27:O30 D27:L31">
    <cfRule type="expression" dxfId="0" priority="25">
      <formula>$B$27="NO"</formula>
    </cfRule>
  </conditionalFormatting>
  <dataValidations count="1">
    <dataValidation type="list" allowBlank="1" showInputMessage="1" showErrorMessage="1" sqref="B27" xr:uid="{F57D5D10-EB52-47F3-9690-2DF0CF46FE9A}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61C7B-D515-4F82-BA71-683C35DF9604}">
  <sheetPr>
    <tabColor theme="1" tint="0.249977111117893"/>
  </sheetPr>
  <dimension ref="A1:U72"/>
  <sheetViews>
    <sheetView showGridLines="0" tabSelected="1" zoomScaleNormal="100" workbookViewId="0">
      <pane ySplit="5" topLeftCell="A41" activePane="bottomLeft" state="frozen"/>
      <selection pane="bottomLeft" activeCell="I50" sqref="I50"/>
      <selection activeCell="F54" sqref="F54"/>
    </sheetView>
  </sheetViews>
  <sheetFormatPr defaultColWidth="8.85546875" defaultRowHeight="14.45" outlineLevelCol="1"/>
  <cols>
    <col min="1" max="1" width="3" style="1" customWidth="1"/>
    <col min="2" max="2" width="6.42578125" style="1" customWidth="1"/>
    <col min="3" max="3" width="1.42578125" style="1" customWidth="1"/>
    <col min="4" max="4" width="57.140625" style="1" customWidth="1"/>
    <col min="5" max="6" width="20" style="60" hidden="1" customWidth="1" outlineLevel="1"/>
    <col min="7" max="7" width="3" style="1" customWidth="1" collapsed="1"/>
    <col min="8" max="8" width="12.85546875" style="1" customWidth="1"/>
    <col min="9" max="9" width="10" style="1" customWidth="1"/>
    <col min="10" max="11" width="12.85546875" style="1" customWidth="1"/>
    <col min="12" max="12" width="3" style="1" customWidth="1"/>
    <col min="13" max="13" width="10" style="21" customWidth="1"/>
    <col min="14" max="14" width="3" style="1" customWidth="1"/>
    <col min="15" max="15" width="59.7109375" style="96" customWidth="1"/>
    <col min="16" max="16" width="10" style="1" customWidth="1"/>
    <col min="17" max="17" width="3" style="1" customWidth="1"/>
    <col min="18" max="16384" width="8.85546875" style="1"/>
  </cols>
  <sheetData>
    <row r="1" spans="1:18" ht="15" thickBot="1">
      <c r="A1" s="1" t="s">
        <v>148</v>
      </c>
    </row>
    <row r="2" spans="1:18" ht="15" thickBot="1">
      <c r="G2" s="61" t="s">
        <v>41</v>
      </c>
      <c r="H2" s="160">
        <f>' SIZE '!$F$29</f>
        <v>209650</v>
      </c>
      <c r="I2" s="161" t="e">
        <v>#REF!</v>
      </c>
      <c r="J2" s="161" t="e">
        <v>#REF!</v>
      </c>
      <c r="K2" s="162" t="e">
        <v>#REF!</v>
      </c>
      <c r="M2" s="62"/>
      <c r="O2" s="97" t="s">
        <v>13</v>
      </c>
    </row>
    <row r="3" spans="1:18" ht="15" thickBot="1">
      <c r="G3" s="61" t="s">
        <v>42</v>
      </c>
      <c r="H3" s="163">
        <f>H2*O3</f>
        <v>209650</v>
      </c>
      <c r="I3" s="164" t="e">
        <v>#REF!</v>
      </c>
      <c r="J3" s="164" t="e">
        <v>#REF!</v>
      </c>
      <c r="K3" s="165" t="e">
        <v>#REF!</v>
      </c>
      <c r="M3" s="62"/>
      <c r="O3" s="115">
        <v>1</v>
      </c>
    </row>
    <row r="4" spans="1:18" ht="7.5" customHeight="1">
      <c r="M4" s="62"/>
    </row>
    <row r="5" spans="1:18" s="63" customFormat="1" ht="15.95">
      <c r="D5" s="64"/>
      <c r="E5" s="65" t="s">
        <v>43</v>
      </c>
      <c r="F5" s="65" t="s">
        <v>44</v>
      </c>
      <c r="H5" s="66" t="s">
        <v>45</v>
      </c>
      <c r="I5" s="66" t="s">
        <v>46</v>
      </c>
      <c r="J5" s="66" t="s">
        <v>47</v>
      </c>
      <c r="K5" s="66" t="s">
        <v>48</v>
      </c>
      <c r="M5" s="67" t="s">
        <v>49</v>
      </c>
      <c r="O5" s="99" t="s">
        <v>50</v>
      </c>
      <c r="P5" s="68"/>
      <c r="Q5" s="1"/>
    </row>
    <row r="6" spans="1:18" ht="18" customHeight="1">
      <c r="B6" s="166" t="s">
        <v>149</v>
      </c>
      <c r="C6" s="76"/>
      <c r="D6" s="77" t="s">
        <v>150</v>
      </c>
      <c r="E6" s="78" t="s">
        <v>53</v>
      </c>
      <c r="F6" s="78" t="s">
        <v>151</v>
      </c>
      <c r="G6" s="79"/>
      <c r="H6" s="109"/>
      <c r="I6" s="110">
        <f>P58</f>
        <v>0</v>
      </c>
      <c r="J6" s="109">
        <f t="shared" ref="J6:J10" si="0">IFERROR(H6*I6,0)</f>
        <v>0</v>
      </c>
      <c r="K6" s="109">
        <v>0</v>
      </c>
      <c r="L6" s="79"/>
      <c r="M6" s="82">
        <f>IFERROR(J6/$H$2,0)</f>
        <v>0</v>
      </c>
      <c r="N6" s="79"/>
      <c r="O6" s="100" t="s">
        <v>152</v>
      </c>
      <c r="R6" s="14"/>
    </row>
    <row r="7" spans="1:18" ht="18" customHeight="1">
      <c r="B7" s="167"/>
      <c r="D7" s="2" t="s">
        <v>153</v>
      </c>
      <c r="E7" s="16" t="s">
        <v>53</v>
      </c>
      <c r="F7" s="16" t="s">
        <v>154</v>
      </c>
      <c r="G7" s="3"/>
      <c r="H7" s="58"/>
      <c r="I7" s="145">
        <f>IF((' CELLULAR DAS '!P58 &lt;= 1), ROUNDUP((' SIZE '!D29/4),0), (ROUNDUP((' SIZE '!D29/4),0) + 1))</f>
        <v>1</v>
      </c>
      <c r="J7" s="58">
        <f>IFERROR(H7*I7,0)</f>
        <v>0</v>
      </c>
      <c r="K7" s="58">
        <v>0</v>
      </c>
      <c r="L7" s="3"/>
      <c r="M7" s="19">
        <f t="shared" ref="M7:M64" si="1">IFERROR(J7/$H$2,0)</f>
        <v>0</v>
      </c>
      <c r="N7" s="3"/>
      <c r="O7" s="101" t="s">
        <v>155</v>
      </c>
      <c r="R7" s="14"/>
    </row>
    <row r="8" spans="1:18" ht="18" customHeight="1">
      <c r="B8" s="167"/>
      <c r="D8" s="2" t="s">
        <v>156</v>
      </c>
      <c r="E8" s="16" t="s">
        <v>53</v>
      </c>
      <c r="F8" s="16" t="s">
        <v>157</v>
      </c>
      <c r="G8" s="3"/>
      <c r="H8" s="58"/>
      <c r="I8" s="111">
        <f>8*P58</f>
        <v>0</v>
      </c>
      <c r="J8" s="58">
        <f>IFERROR(H8*I8,0)</f>
        <v>0</v>
      </c>
      <c r="K8" s="58">
        <v>0</v>
      </c>
      <c r="L8" s="3"/>
      <c r="M8" s="19">
        <f t="shared" si="1"/>
        <v>0</v>
      </c>
      <c r="N8" s="3"/>
      <c r="O8" s="173" t="s">
        <v>158</v>
      </c>
      <c r="P8" s="103"/>
      <c r="R8" s="14"/>
    </row>
    <row r="9" spans="1:18" ht="18" customHeight="1">
      <c r="B9" s="167"/>
      <c r="D9" s="2" t="s">
        <v>159</v>
      </c>
      <c r="E9" s="16" t="s">
        <v>53</v>
      </c>
      <c r="F9" s="16" t="s">
        <v>160</v>
      </c>
      <c r="G9" s="3"/>
      <c r="H9" s="58"/>
      <c r="I9" s="111">
        <v>0</v>
      </c>
      <c r="J9" s="58">
        <f t="shared" si="0"/>
        <v>0</v>
      </c>
      <c r="K9" s="58">
        <v>0</v>
      </c>
      <c r="L9" s="3"/>
      <c r="M9" s="19">
        <f t="shared" si="1"/>
        <v>0</v>
      </c>
      <c r="N9" s="3"/>
      <c r="O9" s="173"/>
      <c r="P9" s="103"/>
      <c r="R9" s="14"/>
    </row>
    <row r="10" spans="1:18" ht="18" customHeight="1">
      <c r="B10" s="167"/>
      <c r="D10" s="2" t="s">
        <v>161</v>
      </c>
      <c r="E10" s="16" t="s">
        <v>53</v>
      </c>
      <c r="F10" s="16" t="s">
        <v>162</v>
      </c>
      <c r="G10" s="3"/>
      <c r="H10" s="58"/>
      <c r="I10" s="111">
        <v>0</v>
      </c>
      <c r="J10" s="58">
        <f t="shared" si="0"/>
        <v>0</v>
      </c>
      <c r="K10" s="58">
        <v>0</v>
      </c>
      <c r="L10" s="3"/>
      <c r="M10" s="19">
        <f t="shared" si="1"/>
        <v>0</v>
      </c>
      <c r="N10" s="3"/>
      <c r="O10" s="173"/>
      <c r="P10" s="103"/>
      <c r="R10" s="14"/>
    </row>
    <row r="11" spans="1:18" ht="18" customHeight="1">
      <c r="B11" s="167"/>
      <c r="D11" s="2" t="s">
        <v>163</v>
      </c>
      <c r="E11" s="16" t="s">
        <v>53</v>
      </c>
      <c r="F11" s="16" t="s">
        <v>164</v>
      </c>
      <c r="G11" s="3"/>
      <c r="H11" s="58"/>
      <c r="I11" s="111">
        <f>I6</f>
        <v>0</v>
      </c>
      <c r="J11" s="58">
        <f t="shared" ref="J11:J12" si="2">IFERROR(H11*I11,0)</f>
        <v>0</v>
      </c>
      <c r="K11" s="58">
        <v>0</v>
      </c>
      <c r="L11" s="3"/>
      <c r="M11" s="19">
        <f t="shared" ref="M11:M12" si="3">IFERROR(J11/$H$2,0)</f>
        <v>0</v>
      </c>
      <c r="N11" s="3"/>
      <c r="O11" s="101" t="s">
        <v>152</v>
      </c>
      <c r="R11" s="14"/>
    </row>
    <row r="12" spans="1:18" ht="18" customHeight="1">
      <c r="B12" s="167"/>
      <c r="D12" s="2" t="s">
        <v>165</v>
      </c>
      <c r="E12" s="16" t="s">
        <v>53</v>
      </c>
      <c r="F12" s="16" t="s">
        <v>166</v>
      </c>
      <c r="G12" s="3"/>
      <c r="H12" s="58"/>
      <c r="I12" s="111">
        <f>I6</f>
        <v>0</v>
      </c>
      <c r="J12" s="58">
        <f t="shared" si="2"/>
        <v>0</v>
      </c>
      <c r="K12" s="58">
        <v>0</v>
      </c>
      <c r="L12" s="3"/>
      <c r="M12" s="135">
        <f t="shared" si="3"/>
        <v>0</v>
      </c>
      <c r="N12" s="3"/>
      <c r="O12" s="101" t="s">
        <v>152</v>
      </c>
      <c r="R12" s="14"/>
    </row>
    <row r="13" spans="1:18" ht="7.5" customHeight="1">
      <c r="B13" s="125"/>
      <c r="C13" s="126"/>
      <c r="D13" s="127"/>
      <c r="E13" s="128"/>
      <c r="F13" s="128"/>
      <c r="G13" s="129"/>
      <c r="H13" s="130"/>
      <c r="I13" s="131"/>
      <c r="J13" s="130"/>
      <c r="K13" s="130"/>
      <c r="L13" s="129"/>
      <c r="M13" s="132"/>
      <c r="N13" s="129"/>
      <c r="O13" s="133"/>
      <c r="R13" s="14"/>
    </row>
    <row r="14" spans="1:18" ht="15.75" customHeight="1">
      <c r="B14" s="170" t="s">
        <v>167</v>
      </c>
      <c r="D14" s="2" t="s">
        <v>168</v>
      </c>
      <c r="E14" s="16" t="s">
        <v>53</v>
      </c>
      <c r="F14" s="16" t="s">
        <v>169</v>
      </c>
      <c r="G14" s="3"/>
      <c r="H14" s="58"/>
      <c r="I14" s="111">
        <f>' SIZE '!D29</f>
        <v>3</v>
      </c>
      <c r="J14" s="58">
        <f>IFERROR(H14*I14,0)</f>
        <v>0</v>
      </c>
      <c r="K14" s="58">
        <v>0</v>
      </c>
      <c r="L14" s="3"/>
      <c r="M14" s="134">
        <f t="shared" si="1"/>
        <v>0</v>
      </c>
      <c r="N14" s="3"/>
      <c r="O14" s="101" t="s">
        <v>170</v>
      </c>
      <c r="R14" s="14"/>
    </row>
    <row r="15" spans="1:18" ht="15.75" customHeight="1">
      <c r="B15" s="170"/>
      <c r="D15" s="146" t="s">
        <v>171</v>
      </c>
      <c r="E15" s="16"/>
      <c r="F15" s="16"/>
      <c r="G15" s="3"/>
      <c r="H15" s="140"/>
      <c r="I15" s="111">
        <f>' SIZE '!D30</f>
        <v>0</v>
      </c>
      <c r="J15" s="58">
        <f>IFERROR(H15*I15,0)</f>
        <v>0</v>
      </c>
      <c r="K15" s="58">
        <v>0</v>
      </c>
      <c r="L15" s="3"/>
      <c r="M15" s="134">
        <f t="shared" ref="M15" si="4">IFERROR(J15/$H$2,0)</f>
        <v>0</v>
      </c>
      <c r="N15" s="3"/>
      <c r="O15" s="101" t="s">
        <v>172</v>
      </c>
      <c r="R15" s="14"/>
    </row>
    <row r="16" spans="1:18" ht="15.75" customHeight="1">
      <c r="B16" s="170"/>
      <c r="D16" s="2" t="s">
        <v>173</v>
      </c>
      <c r="E16" s="16" t="s">
        <v>53</v>
      </c>
      <c r="F16" s="16" t="s">
        <v>174</v>
      </c>
      <c r="G16" s="3"/>
      <c r="H16" s="58"/>
      <c r="I16" s="111">
        <f>I14</f>
        <v>3</v>
      </c>
      <c r="J16" s="58">
        <f t="shared" ref="J16:J17" si="5">IFERROR(H16*I16,0)</f>
        <v>0</v>
      </c>
      <c r="K16" s="58">
        <v>0</v>
      </c>
      <c r="L16" s="3"/>
      <c r="M16" s="19">
        <f t="shared" si="1"/>
        <v>0</v>
      </c>
      <c r="N16" s="3"/>
      <c r="O16" s="101" t="s">
        <v>170</v>
      </c>
      <c r="R16" s="14"/>
    </row>
    <row r="17" spans="2:18" ht="15.75" customHeight="1">
      <c r="B17" s="170"/>
      <c r="D17" s="2" t="s">
        <v>175</v>
      </c>
      <c r="E17" s="16" t="s">
        <v>53</v>
      </c>
      <c r="F17" s="16" t="s">
        <v>176</v>
      </c>
      <c r="G17" s="3"/>
      <c r="H17" s="58"/>
      <c r="I17" s="111">
        <v>0</v>
      </c>
      <c r="J17" s="58">
        <f t="shared" si="5"/>
        <v>0</v>
      </c>
      <c r="K17" s="58">
        <v>0</v>
      </c>
      <c r="L17" s="3"/>
      <c r="M17" s="19">
        <f t="shared" si="1"/>
        <v>0</v>
      </c>
      <c r="N17" s="3"/>
      <c r="O17" s="101" t="s">
        <v>177</v>
      </c>
      <c r="R17" s="14"/>
    </row>
    <row r="18" spans="2:18" ht="15.75" customHeight="1">
      <c r="B18" s="170"/>
      <c r="D18" s="2" t="s">
        <v>178</v>
      </c>
      <c r="E18" s="16" t="s">
        <v>53</v>
      </c>
      <c r="F18" s="16" t="s">
        <v>179</v>
      </c>
      <c r="G18" s="3"/>
      <c r="H18" s="58"/>
      <c r="I18" s="111">
        <v>0</v>
      </c>
      <c r="J18" s="58">
        <f t="shared" ref="J18:J22" si="6">IFERROR(H18*I18,0)</f>
        <v>0</v>
      </c>
      <c r="K18" s="58">
        <v>0</v>
      </c>
      <c r="L18" s="3"/>
      <c r="M18" s="19">
        <f t="shared" ref="M18:M22" si="7">IFERROR(J18/$H$2,0)</f>
        <v>0</v>
      </c>
      <c r="N18" s="3"/>
      <c r="O18" s="101" t="s">
        <v>180</v>
      </c>
      <c r="R18" s="14"/>
    </row>
    <row r="19" spans="2:18" ht="15.75" customHeight="1">
      <c r="B19" s="170"/>
      <c r="D19" s="2" t="s">
        <v>181</v>
      </c>
      <c r="E19" s="16" t="s">
        <v>53</v>
      </c>
      <c r="F19" s="16" t="s">
        <v>182</v>
      </c>
      <c r="G19" s="3"/>
      <c r="H19" s="140"/>
      <c r="I19" s="111">
        <f>I14</f>
        <v>3</v>
      </c>
      <c r="J19" s="58">
        <f t="shared" ref="J19" si="8">IFERROR(H19*I19,0)</f>
        <v>0</v>
      </c>
      <c r="K19" s="58">
        <v>0</v>
      </c>
      <c r="L19" s="3"/>
      <c r="M19" s="19">
        <f t="shared" si="7"/>
        <v>0</v>
      </c>
      <c r="N19" s="3"/>
      <c r="O19" s="101" t="s">
        <v>170</v>
      </c>
      <c r="R19" s="14"/>
    </row>
    <row r="20" spans="2:18" ht="15.75" customHeight="1">
      <c r="B20" s="170"/>
      <c r="D20" s="2" t="s">
        <v>183</v>
      </c>
      <c r="E20" s="16" t="s">
        <v>53</v>
      </c>
      <c r="F20" s="16" t="s">
        <v>184</v>
      </c>
      <c r="G20" s="3"/>
      <c r="H20" s="58"/>
      <c r="I20" s="111">
        <f>I14</f>
        <v>3</v>
      </c>
      <c r="J20" s="58">
        <f t="shared" si="6"/>
        <v>0</v>
      </c>
      <c r="K20" s="58">
        <v>0</v>
      </c>
      <c r="L20" s="3"/>
      <c r="M20" s="19">
        <f t="shared" si="7"/>
        <v>0</v>
      </c>
      <c r="N20" s="3"/>
      <c r="O20" s="101" t="s">
        <v>170</v>
      </c>
      <c r="R20" s="14"/>
    </row>
    <row r="21" spans="2:18" ht="18" customHeight="1">
      <c r="B21" s="170"/>
      <c r="D21" s="136" t="s">
        <v>185</v>
      </c>
      <c r="E21" s="137"/>
      <c r="F21" s="137"/>
      <c r="G21" s="138"/>
      <c r="H21" s="139"/>
      <c r="I21" s="111">
        <f>' SIZE '!D36</f>
        <v>0</v>
      </c>
      <c r="J21" s="58">
        <f t="shared" si="6"/>
        <v>0</v>
      </c>
      <c r="K21" s="58">
        <v>0</v>
      </c>
      <c r="L21" s="3"/>
      <c r="M21" s="135">
        <f t="shared" si="7"/>
        <v>0</v>
      </c>
      <c r="N21" s="3"/>
      <c r="O21" s="101" t="s">
        <v>170</v>
      </c>
      <c r="R21" s="14"/>
    </row>
    <row r="22" spans="2:18" ht="18" customHeight="1">
      <c r="B22" s="170"/>
      <c r="D22" s="136" t="s">
        <v>186</v>
      </c>
      <c r="E22" s="137"/>
      <c r="F22" s="137"/>
      <c r="G22" s="138"/>
      <c r="H22" s="139"/>
      <c r="I22" s="111">
        <f>' SIZE '!D37</f>
        <v>0</v>
      </c>
      <c r="J22" s="58">
        <f t="shared" si="6"/>
        <v>0</v>
      </c>
      <c r="K22" s="58">
        <v>0</v>
      </c>
      <c r="L22" s="3"/>
      <c r="M22" s="135">
        <f t="shared" si="7"/>
        <v>0</v>
      </c>
      <c r="N22" s="3"/>
      <c r="O22" s="101" t="s">
        <v>170</v>
      </c>
      <c r="R22" s="14"/>
    </row>
    <row r="23" spans="2:18" ht="15.75" customHeight="1">
      <c r="B23" s="170"/>
      <c r="D23" s="2" t="s">
        <v>187</v>
      </c>
      <c r="E23" s="16" t="s">
        <v>53</v>
      </c>
      <c r="F23" s="16" t="s">
        <v>188</v>
      </c>
      <c r="G23" s="3"/>
      <c r="H23" s="58"/>
      <c r="I23" s="111">
        <f>' SIZE '!C29</f>
        <v>0</v>
      </c>
      <c r="J23" s="58">
        <f>IFERROR(H23*I23,0)</f>
        <v>0</v>
      </c>
      <c r="K23" s="58">
        <v>0</v>
      </c>
      <c r="L23" s="3"/>
      <c r="M23" s="19">
        <f t="shared" ref="M23:M28" si="9">IFERROR(J23/$H$2,0)</f>
        <v>0</v>
      </c>
      <c r="N23" s="3"/>
      <c r="O23" s="101" t="s">
        <v>170</v>
      </c>
      <c r="R23" s="14"/>
    </row>
    <row r="24" spans="2:18" ht="15.75" customHeight="1">
      <c r="B24" s="170"/>
      <c r="D24" s="2" t="s">
        <v>189</v>
      </c>
      <c r="E24" s="16" t="s">
        <v>53</v>
      </c>
      <c r="F24" s="16" t="s">
        <v>190</v>
      </c>
      <c r="G24" s="3"/>
      <c r="H24" s="58"/>
      <c r="I24" s="111">
        <f>I23</f>
        <v>0</v>
      </c>
      <c r="J24" s="58">
        <f t="shared" ref="J24:J28" si="10">IFERROR(H24*I24,0)</f>
        <v>0</v>
      </c>
      <c r="K24" s="58">
        <v>0</v>
      </c>
      <c r="L24" s="3"/>
      <c r="M24" s="19">
        <f t="shared" si="9"/>
        <v>0</v>
      </c>
      <c r="N24" s="3"/>
      <c r="O24" s="101" t="s">
        <v>170</v>
      </c>
      <c r="R24" s="14"/>
    </row>
    <row r="25" spans="2:18" ht="15.75" customHeight="1">
      <c r="B25" s="170"/>
      <c r="D25" s="2" t="s">
        <v>191</v>
      </c>
      <c r="E25" s="16" t="s">
        <v>53</v>
      </c>
      <c r="F25" s="16" t="s">
        <v>192</v>
      </c>
      <c r="G25" s="3"/>
      <c r="H25" s="58"/>
      <c r="I25" s="111">
        <v>0</v>
      </c>
      <c r="J25" s="58">
        <f t="shared" ref="J25" si="11">IFERROR(H25*I25,0)</f>
        <v>0</v>
      </c>
      <c r="K25" s="58">
        <v>0</v>
      </c>
      <c r="L25" s="3"/>
      <c r="M25" s="19">
        <f t="shared" ref="M25" si="12">IFERROR(J25/$H$2,0)</f>
        <v>0</v>
      </c>
      <c r="N25" s="3"/>
      <c r="O25" s="101" t="s">
        <v>177</v>
      </c>
      <c r="R25" s="14"/>
    </row>
    <row r="26" spans="2:18" ht="15.75" customHeight="1">
      <c r="B26" s="170"/>
      <c r="D26" s="2" t="s">
        <v>193</v>
      </c>
      <c r="E26" s="16" t="s">
        <v>53</v>
      </c>
      <c r="F26" s="16" t="s">
        <v>194</v>
      </c>
      <c r="G26" s="3"/>
      <c r="H26" s="58"/>
      <c r="I26" s="111">
        <v>0</v>
      </c>
      <c r="J26" s="58">
        <f t="shared" si="10"/>
        <v>0</v>
      </c>
      <c r="K26" s="58">
        <v>0</v>
      </c>
      <c r="L26" s="3"/>
      <c r="M26" s="19">
        <f t="shared" si="9"/>
        <v>0</v>
      </c>
      <c r="N26" s="3"/>
      <c r="O26" s="101" t="s">
        <v>180</v>
      </c>
      <c r="R26" s="14"/>
    </row>
    <row r="27" spans="2:18" ht="15.75" customHeight="1">
      <c r="B27" s="170"/>
      <c r="D27" s="2" t="s">
        <v>195</v>
      </c>
      <c r="E27" s="16" t="s">
        <v>53</v>
      </c>
      <c r="F27" s="16" t="s">
        <v>182</v>
      </c>
      <c r="G27" s="3"/>
      <c r="H27" s="140"/>
      <c r="I27" s="111">
        <f>I23</f>
        <v>0</v>
      </c>
      <c r="J27" s="58">
        <f t="shared" ref="J27" si="13">IFERROR(H27*I27,0)</f>
        <v>0</v>
      </c>
      <c r="K27" s="58">
        <v>0</v>
      </c>
      <c r="L27" s="3"/>
      <c r="M27" s="19">
        <f t="shared" ref="M27" si="14">IFERROR(J27/$H$2,0)</f>
        <v>0</v>
      </c>
      <c r="N27" s="3"/>
      <c r="O27" s="101" t="s">
        <v>170</v>
      </c>
      <c r="R27" s="14"/>
    </row>
    <row r="28" spans="2:18" ht="15.75" customHeight="1">
      <c r="B28" s="170"/>
      <c r="D28" s="2" t="s">
        <v>196</v>
      </c>
      <c r="E28" s="16" t="s">
        <v>53</v>
      </c>
      <c r="F28" s="16" t="s">
        <v>197</v>
      </c>
      <c r="G28" s="3"/>
      <c r="H28" s="58"/>
      <c r="I28" s="111">
        <f>I23</f>
        <v>0</v>
      </c>
      <c r="J28" s="58">
        <f t="shared" si="10"/>
        <v>0</v>
      </c>
      <c r="K28" s="58">
        <v>0</v>
      </c>
      <c r="L28" s="3"/>
      <c r="M28" s="19">
        <f t="shared" si="9"/>
        <v>0</v>
      </c>
      <c r="N28" s="3"/>
      <c r="O28" s="101" t="s">
        <v>170</v>
      </c>
      <c r="R28" s="14"/>
    </row>
    <row r="29" spans="2:18">
      <c r="B29" s="171"/>
      <c r="C29" s="84"/>
      <c r="D29" s="85"/>
      <c r="E29" s="112"/>
      <c r="F29" s="112"/>
      <c r="G29" s="87"/>
      <c r="H29" s="113"/>
      <c r="I29" s="117"/>
      <c r="J29" s="113"/>
      <c r="K29" s="113"/>
      <c r="L29" s="87"/>
      <c r="M29" s="118"/>
      <c r="N29" s="87"/>
      <c r="O29" s="102"/>
      <c r="R29" s="14"/>
    </row>
    <row r="30" spans="2:18">
      <c r="D30" s="2"/>
      <c r="E30" s="16"/>
      <c r="F30" s="16"/>
      <c r="G30" s="3"/>
      <c r="H30" s="58"/>
      <c r="I30" s="116"/>
      <c r="J30" s="58"/>
      <c r="K30" s="58"/>
      <c r="L30" s="3"/>
      <c r="M30" s="94"/>
      <c r="N30" s="3"/>
      <c r="O30" s="103"/>
      <c r="R30" s="14"/>
    </row>
    <row r="31" spans="2:18" ht="15" customHeight="1">
      <c r="B31" s="169" t="s">
        <v>198</v>
      </c>
      <c r="C31" s="76"/>
      <c r="D31" s="77" t="s">
        <v>199</v>
      </c>
      <c r="E31" s="92" t="s">
        <v>95</v>
      </c>
      <c r="F31" s="92" t="s">
        <v>95</v>
      </c>
      <c r="G31" s="79"/>
      <c r="H31" s="109"/>
      <c r="I31" s="110">
        <f>' SIZE '!E29*O3</f>
        <v>65</v>
      </c>
      <c r="J31" s="109">
        <f>IFERROR(H31*I31,0)</f>
        <v>0</v>
      </c>
      <c r="K31" s="109">
        <v>0</v>
      </c>
      <c r="L31" s="79"/>
      <c r="M31" s="82">
        <f t="shared" si="1"/>
        <v>0</v>
      </c>
      <c r="N31" s="79"/>
      <c r="O31" s="100" t="s">
        <v>200</v>
      </c>
      <c r="R31" s="14"/>
    </row>
    <row r="32" spans="2:18" ht="15" customHeight="1">
      <c r="B32" s="170"/>
      <c r="D32" s="2" t="s">
        <v>201</v>
      </c>
      <c r="E32" s="93" t="s">
        <v>95</v>
      </c>
      <c r="F32" s="93" t="s">
        <v>95</v>
      </c>
      <c r="G32" s="3"/>
      <c r="H32" s="58"/>
      <c r="I32" s="111">
        <v>0</v>
      </c>
      <c r="J32" s="58">
        <f>IFERROR(H32*I32,0)</f>
        <v>0</v>
      </c>
      <c r="K32" s="58">
        <v>0</v>
      </c>
      <c r="L32" s="3"/>
      <c r="M32" s="19">
        <f t="shared" ref="M32:M35" si="15">IFERROR(J32/$H$2,0)</f>
        <v>0</v>
      </c>
      <c r="N32" s="3"/>
      <c r="O32" s="101" t="s">
        <v>200</v>
      </c>
      <c r="R32" s="14"/>
    </row>
    <row r="33" spans="2:21" ht="15" customHeight="1">
      <c r="B33" s="170"/>
      <c r="D33" s="2" t="s">
        <v>202</v>
      </c>
      <c r="E33" s="93" t="s">
        <v>95</v>
      </c>
      <c r="F33" s="93" t="s">
        <v>95</v>
      </c>
      <c r="G33" s="3"/>
      <c r="H33" s="58"/>
      <c r="I33" s="111">
        <v>0</v>
      </c>
      <c r="J33" s="58">
        <f>IFERROR(H33*I33,0)</f>
        <v>0</v>
      </c>
      <c r="K33" s="58">
        <v>0</v>
      </c>
      <c r="L33" s="3"/>
      <c r="M33" s="19">
        <f t="shared" si="15"/>
        <v>0</v>
      </c>
      <c r="N33" s="3"/>
      <c r="O33" s="101" t="s">
        <v>203</v>
      </c>
      <c r="R33" s="14"/>
    </row>
    <row r="34" spans="2:21" ht="15" customHeight="1">
      <c r="B34" s="170"/>
      <c r="D34" s="2" t="s">
        <v>204</v>
      </c>
      <c r="E34" s="93"/>
      <c r="F34" s="93"/>
      <c r="G34" s="3"/>
      <c r="H34" s="58"/>
      <c r="I34" s="111" t="s">
        <v>95</v>
      </c>
      <c r="J34" s="58">
        <f t="shared" ref="J34:J35" si="16">IFERROR(H34*I34,0)</f>
        <v>0</v>
      </c>
      <c r="K34" s="58"/>
      <c r="L34" s="3"/>
      <c r="M34" s="19">
        <f t="shared" si="15"/>
        <v>0</v>
      </c>
      <c r="N34" s="3"/>
      <c r="O34" s="101" t="s">
        <v>205</v>
      </c>
      <c r="R34" s="14"/>
    </row>
    <row r="35" spans="2:21" ht="15" customHeight="1">
      <c r="B35" s="170"/>
      <c r="D35" s="2" t="s">
        <v>206</v>
      </c>
      <c r="E35" s="93"/>
      <c r="F35" s="93"/>
      <c r="G35" s="3"/>
      <c r="H35" s="58"/>
      <c r="I35" s="111" t="s">
        <v>95</v>
      </c>
      <c r="J35" s="58">
        <f t="shared" si="16"/>
        <v>0</v>
      </c>
      <c r="K35" s="58"/>
      <c r="L35" s="3"/>
      <c r="M35" s="19">
        <f t="shared" si="15"/>
        <v>0</v>
      </c>
      <c r="N35" s="3"/>
      <c r="O35" s="101" t="s">
        <v>207</v>
      </c>
      <c r="R35" s="14"/>
    </row>
    <row r="36" spans="2:21" ht="15" customHeight="1">
      <c r="B36" s="171"/>
      <c r="C36" s="84"/>
      <c r="D36" s="85" t="s">
        <v>208</v>
      </c>
      <c r="E36" s="86" t="s">
        <v>95</v>
      </c>
      <c r="F36" s="86" t="s">
        <v>95</v>
      </c>
      <c r="G36" s="87"/>
      <c r="H36" s="113"/>
      <c r="I36" s="114" t="s">
        <v>95</v>
      </c>
      <c r="J36" s="113">
        <f t="shared" ref="J36" si="17">IFERROR(H36*I36,0)</f>
        <v>0</v>
      </c>
      <c r="K36" s="113">
        <v>0</v>
      </c>
      <c r="L36" s="87"/>
      <c r="M36" s="90">
        <f t="shared" si="1"/>
        <v>0</v>
      </c>
      <c r="N36" s="87"/>
      <c r="O36" s="102" t="s">
        <v>209</v>
      </c>
      <c r="R36" s="14"/>
    </row>
    <row r="37" spans="2:21">
      <c r="D37" s="2"/>
      <c r="E37" s="16"/>
      <c r="F37" s="16"/>
      <c r="G37" s="3"/>
      <c r="H37" s="58"/>
      <c r="I37" s="116"/>
      <c r="J37" s="58"/>
      <c r="K37" s="58"/>
      <c r="L37" s="3"/>
      <c r="M37" s="94"/>
      <c r="N37" s="3"/>
      <c r="O37" s="103"/>
      <c r="R37" s="14"/>
    </row>
    <row r="38" spans="2:21">
      <c r="B38" s="169" t="s">
        <v>210</v>
      </c>
      <c r="C38" s="76"/>
      <c r="D38" s="77" t="s">
        <v>211</v>
      </c>
      <c r="E38" s="92" t="s">
        <v>95</v>
      </c>
      <c r="F38" s="92" t="s">
        <v>95</v>
      </c>
      <c r="G38" s="79"/>
      <c r="H38" s="109"/>
      <c r="I38" s="110">
        <f>-H38</f>
        <v>0</v>
      </c>
      <c r="J38" s="109">
        <f t="shared" ref="J38:J46" si="18">IFERROR(H38*I38,0)</f>
        <v>0</v>
      </c>
      <c r="K38" s="109">
        <v>0</v>
      </c>
      <c r="L38" s="79"/>
      <c r="M38" s="82">
        <f t="shared" si="1"/>
        <v>0</v>
      </c>
      <c r="N38" s="79"/>
      <c r="O38" s="100" t="s">
        <v>212</v>
      </c>
      <c r="R38" s="14"/>
    </row>
    <row r="39" spans="2:21">
      <c r="B39" s="170"/>
      <c r="D39" s="2" t="s">
        <v>213</v>
      </c>
      <c r="E39" s="93" t="s">
        <v>95</v>
      </c>
      <c r="F39" s="93" t="s">
        <v>95</v>
      </c>
      <c r="G39" s="3"/>
      <c r="H39" s="58"/>
      <c r="I39" s="111">
        <v>0</v>
      </c>
      <c r="J39" s="58">
        <f t="shared" si="18"/>
        <v>0</v>
      </c>
      <c r="K39" s="58">
        <f>360*I39</f>
        <v>0</v>
      </c>
      <c r="L39" s="3"/>
      <c r="M39" s="19">
        <f t="shared" si="1"/>
        <v>0</v>
      </c>
      <c r="N39" s="3"/>
      <c r="O39" s="101" t="s">
        <v>212</v>
      </c>
      <c r="R39" s="14"/>
      <c r="S39" s="12"/>
      <c r="T39" s="12"/>
      <c r="U39" s="13"/>
    </row>
    <row r="40" spans="2:21" ht="15.75" customHeight="1">
      <c r="B40" s="170"/>
      <c r="D40" s="2" t="s">
        <v>214</v>
      </c>
      <c r="E40" s="93" t="s">
        <v>95</v>
      </c>
      <c r="F40" s="93" t="s">
        <v>95</v>
      </c>
      <c r="G40" s="3"/>
      <c r="H40" s="58"/>
      <c r="I40" s="111" t="s">
        <v>95</v>
      </c>
      <c r="J40" s="58">
        <f t="shared" si="18"/>
        <v>0</v>
      </c>
      <c r="K40" s="58">
        <v>0</v>
      </c>
      <c r="L40" s="3"/>
      <c r="M40" s="19">
        <f t="shared" si="1"/>
        <v>0</v>
      </c>
      <c r="N40" s="3"/>
      <c r="O40" s="101" t="s">
        <v>215</v>
      </c>
      <c r="R40" s="14"/>
    </row>
    <row r="41" spans="2:21" ht="15.75" customHeight="1">
      <c r="B41" s="170"/>
      <c r="D41" s="2" t="s">
        <v>216</v>
      </c>
      <c r="E41" s="93" t="s">
        <v>95</v>
      </c>
      <c r="F41" s="93" t="s">
        <v>95</v>
      </c>
      <c r="G41" s="3"/>
      <c r="H41" s="58"/>
      <c r="I41" s="111">
        <v>0</v>
      </c>
      <c r="J41" s="58">
        <v>0</v>
      </c>
      <c r="K41" s="58">
        <f>I41*H41</f>
        <v>0</v>
      </c>
      <c r="L41" s="3"/>
      <c r="M41" s="19">
        <f t="shared" si="1"/>
        <v>0</v>
      </c>
      <c r="N41" s="3"/>
      <c r="O41" s="101" t="s">
        <v>215</v>
      </c>
      <c r="R41" s="14"/>
    </row>
    <row r="42" spans="2:21" ht="15.75" customHeight="1">
      <c r="B42" s="170"/>
      <c r="D42" s="2" t="s">
        <v>217</v>
      </c>
      <c r="E42" s="93" t="s">
        <v>95</v>
      </c>
      <c r="F42" s="93" t="s">
        <v>95</v>
      </c>
      <c r="G42" s="3"/>
      <c r="H42" s="58"/>
      <c r="I42" s="111"/>
      <c r="J42" s="58">
        <f t="shared" ref="J42" si="19">IFERROR(H42*I42,0)</f>
        <v>0</v>
      </c>
      <c r="K42" s="58">
        <v>0</v>
      </c>
      <c r="L42" s="3"/>
      <c r="M42" s="19">
        <f t="shared" si="1"/>
        <v>0</v>
      </c>
      <c r="N42" s="3"/>
      <c r="O42" s="101" t="s">
        <v>218</v>
      </c>
      <c r="R42" s="14"/>
    </row>
    <row r="43" spans="2:21" ht="15.75" customHeight="1">
      <c r="B43" s="170"/>
      <c r="D43" s="2" t="s">
        <v>219</v>
      </c>
      <c r="E43" s="93"/>
      <c r="F43" s="93"/>
      <c r="G43" s="3"/>
      <c r="H43" s="58"/>
      <c r="I43" s="111"/>
      <c r="J43" s="58">
        <f t="shared" ref="J43:J45" si="20">IFERROR(H43*I43,0)</f>
        <v>0</v>
      </c>
      <c r="K43" s="58">
        <v>0</v>
      </c>
      <c r="L43" s="3"/>
      <c r="M43" s="19">
        <f t="shared" ref="M43:M45" si="21">IFERROR(J43/$H$2,0)</f>
        <v>0</v>
      </c>
      <c r="N43" s="3"/>
      <c r="O43" s="101"/>
      <c r="R43" s="14"/>
    </row>
    <row r="44" spans="2:21" ht="15.75" customHeight="1">
      <c r="B44" s="170"/>
      <c r="D44" s="2" t="s">
        <v>220</v>
      </c>
      <c r="E44" s="93"/>
      <c r="F44" s="93"/>
      <c r="G44" s="3"/>
      <c r="H44" s="58"/>
      <c r="I44" s="111"/>
      <c r="J44" s="58">
        <f t="shared" si="20"/>
        <v>0</v>
      </c>
      <c r="K44" s="58">
        <v>0</v>
      </c>
      <c r="L44" s="3"/>
      <c r="M44" s="19">
        <f t="shared" si="21"/>
        <v>0</v>
      </c>
      <c r="N44" s="3"/>
      <c r="O44" s="101"/>
      <c r="R44" s="14"/>
    </row>
    <row r="45" spans="2:21" ht="15.75" customHeight="1">
      <c r="B45" s="170"/>
      <c r="D45" s="2" t="s">
        <v>221</v>
      </c>
      <c r="E45" s="93"/>
      <c r="F45" s="93"/>
      <c r="G45" s="3"/>
      <c r="H45" s="58"/>
      <c r="I45" s="111">
        <f>IF(I43&lt;&gt;0,P61-1,0)</f>
        <v>0</v>
      </c>
      <c r="J45" s="58">
        <f t="shared" si="20"/>
        <v>0</v>
      </c>
      <c r="K45" s="58">
        <v>0</v>
      </c>
      <c r="L45" s="3"/>
      <c r="M45" s="19">
        <f t="shared" si="21"/>
        <v>0</v>
      </c>
      <c r="N45" s="3"/>
      <c r="O45" s="101"/>
      <c r="R45" s="14"/>
    </row>
    <row r="46" spans="2:21" ht="15.75" customHeight="1">
      <c r="B46" s="171"/>
      <c r="C46" s="84"/>
      <c r="D46" s="85" t="s">
        <v>222</v>
      </c>
      <c r="E46" s="112" t="s">
        <v>53</v>
      </c>
      <c r="F46" s="112" t="s">
        <v>223</v>
      </c>
      <c r="G46" s="87"/>
      <c r="H46" s="113"/>
      <c r="I46" s="114" t="s">
        <v>95</v>
      </c>
      <c r="J46" s="113">
        <f t="shared" si="18"/>
        <v>0</v>
      </c>
      <c r="K46" s="113">
        <v>0</v>
      </c>
      <c r="L46" s="87"/>
      <c r="M46" s="90">
        <f t="shared" si="1"/>
        <v>0</v>
      </c>
      <c r="N46" s="87"/>
      <c r="O46" s="102" t="s">
        <v>215</v>
      </c>
      <c r="R46" s="14"/>
    </row>
    <row r="47" spans="2:21">
      <c r="D47" s="2"/>
      <c r="E47" s="16"/>
      <c r="F47" s="16"/>
      <c r="G47" s="3"/>
      <c r="H47" s="58"/>
      <c r="I47" s="116"/>
      <c r="J47" s="58"/>
      <c r="K47" s="58"/>
      <c r="L47" s="3"/>
      <c r="M47" s="94"/>
      <c r="N47" s="3"/>
      <c r="O47" s="103"/>
      <c r="R47" s="14"/>
    </row>
    <row r="48" spans="2:21" ht="29.1">
      <c r="B48" s="169" t="s">
        <v>119</v>
      </c>
      <c r="C48" s="76"/>
      <c r="D48" s="77" t="s">
        <v>120</v>
      </c>
      <c r="E48" s="92" t="s">
        <v>95</v>
      </c>
      <c r="F48" s="92" t="s">
        <v>95</v>
      </c>
      <c r="G48" s="79"/>
      <c r="H48" s="109"/>
      <c r="I48" s="110">
        <f>ROUNDUP($H$3/1000,0)</f>
        <v>210</v>
      </c>
      <c r="J48" s="109">
        <f>IFERROR(H48*I48,-1)</f>
        <v>0</v>
      </c>
      <c r="K48" s="109">
        <v>0</v>
      </c>
      <c r="L48" s="79"/>
      <c r="M48" s="82">
        <f t="shared" si="1"/>
        <v>0</v>
      </c>
      <c r="N48" s="79"/>
      <c r="O48" s="100" t="s">
        <v>224</v>
      </c>
      <c r="R48" s="14"/>
    </row>
    <row r="49" spans="2:18" ht="29.1">
      <c r="B49" s="170"/>
      <c r="D49" s="2" t="s">
        <v>122</v>
      </c>
      <c r="E49" s="93" t="s">
        <v>95</v>
      </c>
      <c r="F49" s="93" t="s">
        <v>95</v>
      </c>
      <c r="G49" s="3"/>
      <c r="H49" s="140"/>
      <c r="I49" s="111"/>
      <c r="J49" s="58">
        <f t="shared" ref="J49" si="22">IFERROR(H49*I49,0)</f>
        <v>0</v>
      </c>
      <c r="K49" s="58">
        <v>0</v>
      </c>
      <c r="L49" s="3"/>
      <c r="M49" s="19">
        <f t="shared" si="1"/>
        <v>0</v>
      </c>
      <c r="N49" s="3"/>
      <c r="O49" s="101" t="s">
        <v>225</v>
      </c>
      <c r="P49" s="1" t="s">
        <v>124</v>
      </c>
      <c r="R49" s="14"/>
    </row>
    <row r="50" spans="2:18" ht="15" customHeight="1">
      <c r="B50" s="170"/>
      <c r="D50" s="2" t="s">
        <v>128</v>
      </c>
      <c r="E50" s="93" t="s">
        <v>95</v>
      </c>
      <c r="F50" s="93" t="s">
        <v>95</v>
      </c>
      <c r="G50" s="3"/>
      <c r="H50" s="58"/>
      <c r="I50" s="111"/>
      <c r="J50" s="58">
        <f>IFERROR(H50*I50,0)</f>
        <v>0</v>
      </c>
      <c r="K50" s="58">
        <v>0</v>
      </c>
      <c r="L50" s="3"/>
      <c r="M50" s="19">
        <f t="shared" si="1"/>
        <v>0</v>
      </c>
      <c r="N50" s="3"/>
      <c r="O50" s="101" t="s">
        <v>129</v>
      </c>
      <c r="P50" s="1" t="s">
        <v>127</v>
      </c>
      <c r="R50" s="14"/>
    </row>
    <row r="51" spans="2:18" ht="15" customHeight="1">
      <c r="B51" s="170"/>
      <c r="D51" s="2" t="s">
        <v>130</v>
      </c>
      <c r="E51" s="93" t="s">
        <v>95</v>
      </c>
      <c r="F51" s="93" t="s">
        <v>95</v>
      </c>
      <c r="G51" s="3"/>
      <c r="H51" s="58"/>
      <c r="I51" s="111"/>
      <c r="J51" s="58">
        <f>IFERROR(H51*I51,0)</f>
        <v>0</v>
      </c>
      <c r="K51" s="58">
        <v>0</v>
      </c>
      <c r="L51" s="3"/>
      <c r="M51" s="19">
        <f t="shared" ref="M51" si="23">IFERROR(J51/$H$2,0)</f>
        <v>0</v>
      </c>
      <c r="N51" s="3"/>
      <c r="O51" s="101" t="s">
        <v>131</v>
      </c>
      <c r="R51" s="14"/>
    </row>
    <row r="52" spans="2:18" ht="15" customHeight="1">
      <c r="B52" s="170"/>
      <c r="D52" s="2" t="s">
        <v>226</v>
      </c>
      <c r="E52" s="93" t="s">
        <v>95</v>
      </c>
      <c r="F52" s="93" t="s">
        <v>95</v>
      </c>
      <c r="G52" s="3"/>
      <c r="H52" s="58"/>
      <c r="I52" s="111"/>
      <c r="J52" s="58">
        <v>0</v>
      </c>
      <c r="K52" s="58">
        <f>H52*I52</f>
        <v>0</v>
      </c>
      <c r="L52" s="3"/>
      <c r="M52" s="19">
        <f t="shared" si="1"/>
        <v>0</v>
      </c>
      <c r="N52" s="3"/>
      <c r="O52" s="101" t="s">
        <v>227</v>
      </c>
      <c r="R52" s="14"/>
    </row>
    <row r="53" spans="2:18" ht="15" customHeight="1">
      <c r="B53" s="171"/>
      <c r="C53" s="84"/>
      <c r="D53" s="85" t="s">
        <v>228</v>
      </c>
      <c r="E53" s="112"/>
      <c r="F53" s="112"/>
      <c r="G53" s="87"/>
      <c r="H53" s="113"/>
      <c r="I53" s="114"/>
      <c r="J53" s="113">
        <v>0</v>
      </c>
      <c r="K53" s="113">
        <f>H53*I53</f>
        <v>0</v>
      </c>
      <c r="L53" s="87"/>
      <c r="M53" s="90">
        <f t="shared" si="1"/>
        <v>0</v>
      </c>
      <c r="N53" s="87"/>
      <c r="O53" s="102" t="s">
        <v>109</v>
      </c>
      <c r="R53" s="14"/>
    </row>
    <row r="54" spans="2:18" ht="15" customHeight="1" collapsed="1">
      <c r="D54" s="2"/>
      <c r="E54" s="2"/>
      <c r="F54" s="2"/>
      <c r="G54" s="2"/>
      <c r="H54" s="2"/>
      <c r="I54" s="4"/>
      <c r="J54" s="53"/>
      <c r="K54" s="53"/>
      <c r="L54" s="3"/>
      <c r="M54" s="91"/>
      <c r="N54" s="3"/>
      <c r="O54" s="103"/>
      <c r="R54" s="14"/>
    </row>
    <row r="55" spans="2:18" ht="15" customHeight="1" collapsed="1">
      <c r="B55" s="6"/>
      <c r="C55" s="6"/>
      <c r="D55" s="7"/>
      <c r="E55" s="7"/>
      <c r="F55" s="7"/>
      <c r="G55" s="7"/>
      <c r="H55" s="7"/>
      <c r="I55" s="9"/>
      <c r="J55" s="54"/>
      <c r="K55" s="54"/>
      <c r="L55" s="3"/>
      <c r="M55" s="20"/>
      <c r="N55" s="3"/>
      <c r="R55" s="14"/>
    </row>
    <row r="56" spans="2:18" ht="16.5" customHeight="1">
      <c r="B56" s="159" t="s">
        <v>136</v>
      </c>
      <c r="D56" s="2" t="s">
        <v>229</v>
      </c>
      <c r="E56" s="16"/>
      <c r="F56" s="16"/>
      <c r="G56" s="3"/>
      <c r="H56" s="10"/>
      <c r="I56" s="4"/>
      <c r="J56" s="53">
        <f>SUM(J6:J29)*(1+I60)</f>
        <v>0</v>
      </c>
      <c r="K56" s="53">
        <f>SUM(K6:K29)</f>
        <v>0</v>
      </c>
      <c r="L56" s="3"/>
      <c r="M56" s="19">
        <f t="shared" si="1"/>
        <v>0</v>
      </c>
      <c r="N56" s="3"/>
      <c r="R56" s="14"/>
    </row>
    <row r="57" spans="2:18" ht="16.5" customHeight="1" thickBot="1">
      <c r="B57" s="159"/>
      <c r="D57" s="2" t="s">
        <v>230</v>
      </c>
      <c r="E57" s="16"/>
      <c r="F57" s="16"/>
      <c r="G57" s="3"/>
      <c r="H57" s="10"/>
      <c r="I57" s="4"/>
      <c r="J57" s="53">
        <f>SUM(J31:J36)*(1+I60)</f>
        <v>0</v>
      </c>
      <c r="K57" s="53">
        <f>SUM(K31:K36)</f>
        <v>0</v>
      </c>
      <c r="L57" s="3"/>
      <c r="M57" s="19">
        <f t="shared" si="1"/>
        <v>0</v>
      </c>
      <c r="N57" s="3"/>
      <c r="R57" s="14"/>
    </row>
    <row r="58" spans="2:18" ht="16.5" customHeight="1" thickBot="1">
      <c r="B58" s="159"/>
      <c r="D58" s="2" t="s">
        <v>231</v>
      </c>
      <c r="E58" s="16"/>
      <c r="F58" s="16"/>
      <c r="G58" s="3"/>
      <c r="H58" s="10"/>
      <c r="I58" s="4"/>
      <c r="J58" s="53">
        <f>SUM(J38:J46)*(1+I60)</f>
        <v>0</v>
      </c>
      <c r="K58" s="53">
        <f t="shared" ref="K58" si="24">SUM(K38:K46)</f>
        <v>0</v>
      </c>
      <c r="L58" s="3"/>
      <c r="M58" s="19">
        <f t="shared" si="1"/>
        <v>0</v>
      </c>
      <c r="N58" s="3"/>
      <c r="O58" s="107" t="s">
        <v>232</v>
      </c>
      <c r="P58" s="33"/>
      <c r="Q58" s="46" t="s">
        <v>233</v>
      </c>
      <c r="R58" s="14"/>
    </row>
    <row r="59" spans="2:18" ht="16.5" customHeight="1" thickBot="1">
      <c r="B59" s="159"/>
      <c r="D59" s="2" t="s">
        <v>234</v>
      </c>
      <c r="E59" s="16"/>
      <c r="F59" s="16"/>
      <c r="G59" s="3"/>
      <c r="H59" s="10"/>
      <c r="I59" s="4"/>
      <c r="J59" s="53">
        <f>SUM(J48:J53)</f>
        <v>0</v>
      </c>
      <c r="K59" s="53">
        <f>SUM(K48:K53)</f>
        <v>0</v>
      </c>
      <c r="L59" s="3"/>
      <c r="M59" s="19">
        <f t="shared" si="1"/>
        <v>0</v>
      </c>
      <c r="N59" s="3"/>
      <c r="O59" s="107" t="s">
        <v>235</v>
      </c>
      <c r="P59" s="34"/>
      <c r="Q59" s="46" t="s">
        <v>236</v>
      </c>
      <c r="R59" s="14"/>
    </row>
    <row r="60" spans="2:18" s="71" customFormat="1" ht="16.5" customHeight="1" thickBot="1">
      <c r="B60" s="159"/>
      <c r="D60" s="32" t="s">
        <v>140</v>
      </c>
      <c r="E60" s="16"/>
      <c r="F60" s="16"/>
      <c r="H60" s="172"/>
      <c r="I60" s="172"/>
      <c r="J60" s="55">
        <f>SUM(J56:J59)</f>
        <v>0</v>
      </c>
      <c r="K60" s="55">
        <f>SUM(K6:K53)</f>
        <v>0</v>
      </c>
      <c r="M60" s="72"/>
      <c r="O60" s="96"/>
      <c r="P60" s="1"/>
      <c r="Q60" s="1"/>
      <c r="R60" s="14"/>
    </row>
    <row r="61" spans="2:18" ht="16.5" customHeight="1" thickBot="1">
      <c r="B61" s="159"/>
      <c r="D61" s="2" t="s">
        <v>141</v>
      </c>
      <c r="E61" s="16"/>
      <c r="F61" s="16"/>
      <c r="G61" s="3"/>
      <c r="H61" s="5"/>
      <c r="I61" s="4"/>
      <c r="J61" s="53">
        <f>SUM(J56:J58)*H61</f>
        <v>0</v>
      </c>
      <c r="K61" s="53">
        <v>0</v>
      </c>
      <c r="L61" s="3"/>
      <c r="M61" s="19">
        <f t="shared" si="1"/>
        <v>0</v>
      </c>
      <c r="N61" s="3"/>
      <c r="O61" s="107" t="s">
        <v>141</v>
      </c>
      <c r="P61" s="56"/>
      <c r="Q61" s="46" t="s">
        <v>142</v>
      </c>
      <c r="R61" s="14"/>
    </row>
    <row r="62" spans="2:18" ht="16.5" customHeight="1" thickBot="1">
      <c r="B62" s="159"/>
      <c r="D62" s="2" t="s">
        <v>143</v>
      </c>
      <c r="E62" s="16"/>
      <c r="F62" s="16"/>
      <c r="G62" s="3"/>
      <c r="H62" s="5"/>
      <c r="I62" s="4"/>
      <c r="J62" s="53">
        <f>(J60-J48-J50-J51)*$H$62</f>
        <v>0</v>
      </c>
      <c r="K62" s="53">
        <v>0</v>
      </c>
      <c r="L62" s="3"/>
      <c r="M62" s="19">
        <f t="shared" si="1"/>
        <v>0</v>
      </c>
      <c r="N62" s="3"/>
      <c r="O62" s="107" t="s">
        <v>144</v>
      </c>
      <c r="P62" s="56"/>
      <c r="Q62" s="46" t="s">
        <v>145</v>
      </c>
      <c r="R62" s="14"/>
    </row>
    <row r="63" spans="2:18" ht="16.5" customHeight="1">
      <c r="B63" s="159"/>
      <c r="D63" s="2" t="s">
        <v>146</v>
      </c>
      <c r="E63" s="16"/>
      <c r="F63" s="16"/>
      <c r="G63" s="3"/>
      <c r="H63" s="5"/>
      <c r="I63" s="4"/>
      <c r="J63" s="53">
        <f>J60*H63</f>
        <v>0</v>
      </c>
      <c r="K63" s="53">
        <f>SUM(K56:K59)*H63</f>
        <v>0</v>
      </c>
      <c r="L63" s="3"/>
      <c r="M63" s="19">
        <f t="shared" si="1"/>
        <v>0</v>
      </c>
      <c r="N63" s="3"/>
      <c r="O63" s="107" t="s">
        <v>146</v>
      </c>
      <c r="P63" s="57"/>
      <c r="Q63" s="46" t="s">
        <v>147</v>
      </c>
      <c r="R63" s="14"/>
    </row>
    <row r="64" spans="2:18" s="71" customFormat="1" ht="16.5" customHeight="1">
      <c r="B64" s="159"/>
      <c r="D64" s="32" t="s">
        <v>14</v>
      </c>
      <c r="E64" s="16"/>
      <c r="F64" s="16"/>
      <c r="H64" s="172"/>
      <c r="I64" s="172"/>
      <c r="J64" s="55">
        <f>SUM(J60:J63)</f>
        <v>0</v>
      </c>
      <c r="K64" s="55">
        <f>SUM(K60:K63)</f>
        <v>0</v>
      </c>
      <c r="L64" s="3"/>
      <c r="M64" s="31">
        <f t="shared" si="1"/>
        <v>0</v>
      </c>
      <c r="N64" s="3"/>
      <c r="O64" s="106"/>
      <c r="R64" s="14"/>
    </row>
    <row r="65" spans="5:15" s="60" customFormat="1" ht="6" customHeight="1">
      <c r="E65" s="16"/>
      <c r="F65" s="16"/>
      <c r="H65" s="73"/>
      <c r="I65" s="73"/>
      <c r="J65" s="74"/>
      <c r="M65" s="11"/>
      <c r="O65" s="108"/>
    </row>
    <row r="66" spans="5:15" s="60" customFormat="1">
      <c r="E66" s="16"/>
      <c r="F66" s="16"/>
      <c r="K66" s="74"/>
      <c r="L66" s="73"/>
      <c r="M66" s="11"/>
      <c r="O66" s="108"/>
    </row>
    <row r="67" spans="5:15">
      <c r="E67" s="16"/>
      <c r="F67" s="16"/>
      <c r="H67" s="15"/>
      <c r="I67" s="15"/>
      <c r="J67" s="74"/>
    </row>
    <row r="68" spans="5:15">
      <c r="E68" s="16"/>
      <c r="F68" s="16"/>
      <c r="J68" s="75"/>
      <c r="K68" s="75"/>
    </row>
    <row r="69" spans="5:15">
      <c r="E69" s="16"/>
      <c r="F69" s="16"/>
      <c r="J69" s="75"/>
    </row>
    <row r="70" spans="5:15">
      <c r="E70" s="16"/>
      <c r="F70" s="16"/>
    </row>
    <row r="72" spans="5:15">
      <c r="J72" s="14"/>
    </row>
  </sheetData>
  <mergeCells count="11">
    <mergeCell ref="O8:O10"/>
    <mergeCell ref="B48:B53"/>
    <mergeCell ref="B56:B64"/>
    <mergeCell ref="H2:K2"/>
    <mergeCell ref="H3:K3"/>
    <mergeCell ref="B31:B36"/>
    <mergeCell ref="B38:B46"/>
    <mergeCell ref="B14:B29"/>
    <mergeCell ref="B6:B12"/>
    <mergeCell ref="H64:I64"/>
    <mergeCell ref="H60:I60"/>
  </mergeCells>
  <conditionalFormatting sqref="M6:M53">
    <cfRule type="colorScale" priority="61">
      <colorScale>
        <cfvo type="min"/>
        <cfvo type="max"/>
        <color theme="0"/>
        <color theme="7"/>
      </colorScale>
    </cfRule>
  </conditionalFormatting>
  <conditionalFormatting sqref="M56:M59">
    <cfRule type="colorScale" priority="2">
      <colorScale>
        <cfvo type="min"/>
        <cfvo type="max"/>
        <color theme="0"/>
        <color theme="5" tint="0.39997558519241921"/>
      </colorScale>
    </cfRule>
  </conditionalFormatting>
  <conditionalFormatting sqref="M61:M63">
    <cfRule type="colorScale" priority="1">
      <colorScale>
        <cfvo type="min"/>
        <cfvo type="max"/>
        <color theme="0"/>
        <color theme="5" tint="0.39997558519241921"/>
      </colorScale>
    </cfRule>
  </conditionalFormatting>
  <pageMargins left="0.7" right="0.7" top="0.75" bottom="0.75" header="0.3" footer="0.3"/>
  <pageSetup paperSize="9" orientation="portrait" r:id="rId1"/>
  <ignoredErrors>
    <ignoredError sqref="J58" 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e548d7-f396-441b-bda6-61c2131de725" xsi:nil="true"/>
    <lcf76f155ced4ddcb4097134ff3c332f xmlns="d18c1450-87e9-45f9-8fe5-6ea87d815bd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AE51EC6F501E4285B07B1B5F58CB8D" ma:contentTypeVersion="13" ma:contentTypeDescription="Create a new document." ma:contentTypeScope="" ma:versionID="89a1e8ff658d97a0c0e3b912adac139f">
  <xsd:schema xmlns:xsd="http://www.w3.org/2001/XMLSchema" xmlns:xs="http://www.w3.org/2001/XMLSchema" xmlns:p="http://schemas.microsoft.com/office/2006/metadata/properties" xmlns:ns2="d18c1450-87e9-45f9-8fe5-6ea87d815bdf" xmlns:ns3="6ce548d7-f396-441b-bda6-61c2131de725" targetNamespace="http://schemas.microsoft.com/office/2006/metadata/properties" ma:root="true" ma:fieldsID="3b2c8c1097133df89e5078b440ee6f32" ns2:_="" ns3:_="">
    <xsd:import namespace="d18c1450-87e9-45f9-8fe5-6ea87d815bdf"/>
    <xsd:import namespace="6ce548d7-f396-441b-bda6-61c2131de7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8c1450-87e9-45f9-8fe5-6ea87d815b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626e311-685f-474e-8a3d-97dbf950bc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e548d7-f396-441b-bda6-61c2131de72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d956517-7bb7-4be0-b4c8-5625a24427d3}" ma:internalName="TaxCatchAll" ma:showField="CatchAllData" ma:web="6ce548d7-f396-441b-bda6-61c2131de7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2046C8F2-7826-447C-B073-984EA0AEFA0F}"/>
</file>

<file path=customXml/itemProps2.xml><?xml version="1.0" encoding="utf-8"?>
<ds:datastoreItem xmlns:ds="http://schemas.openxmlformats.org/officeDocument/2006/customXml" ds:itemID="{8F9670D8-F840-4F46-BD5B-8866AEA76369}"/>
</file>

<file path=customXml/itemProps3.xml><?xml version="1.0" encoding="utf-8"?>
<ds:datastoreItem xmlns:ds="http://schemas.openxmlformats.org/officeDocument/2006/customXml" ds:itemID="{0EA24714-B53F-44FE-BE91-32AAB767D0AD}"/>
</file>

<file path=customXml/itemProps4.xml><?xml version="1.0" encoding="utf-8"?>
<ds:datastoreItem xmlns:ds="http://schemas.openxmlformats.org/officeDocument/2006/customXml" ds:itemID="{A12EB3CB-461A-4330-A054-FF3397E17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Tomas Dvorak</dc:creator>
  <cp:keywords/>
  <dc:description/>
  <cp:lastModifiedBy/>
  <cp:revision/>
  <dcterms:created xsi:type="dcterms:W3CDTF">2020-09-10T16:02:18Z</dcterms:created>
  <dcterms:modified xsi:type="dcterms:W3CDTF">2026-02-19T20:23:16Z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0x01010031AE51EC6F501E4285B07B1B5F58CB8D</vt:lpwstr>
  </property>
  <property fmtid="{D5CDD505-2E9C-101B-9397-08002B2CF9AE}" pid="3" name="_dlc_DocIdItemGuid">
    <vt:lpwstr>d655c2c9-dae1-4615-b807-56ecea3bf06a</vt:lpwstr>
  </property>
  <property fmtid="{D5CDD505-2E9C-101B-9397-08002B2CF9AE}" pid="4" name="MediaServiceImageTags">
    <vt:lpwstr/>
  </property>
</Properties>
</file>