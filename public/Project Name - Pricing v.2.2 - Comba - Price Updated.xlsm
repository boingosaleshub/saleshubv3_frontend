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16"/>
  <workbookPr codeName="ThisWorkbook"/>
  <mc:AlternateContent xmlns:mc="http://schemas.openxmlformats.org/markup-compatibility/2006">
    <mc:Choice Requires="x15">
      <x15ac:absPath xmlns:x15ac="http://schemas.microsoft.com/office/spreadsheetml/2010/11/ac" url="C:\Zareh\Sales Hub\"/>
    </mc:Choice>
  </mc:AlternateContent>
  <xr:revisionPtr revIDLastSave="0" documentId="8_{8916CB79-23C1-40C0-9E01-F88AF7D90B48}" xr6:coauthVersionLast="47" xr6:coauthVersionMax="47" xr10:uidLastSave="{00000000-0000-0000-0000-000000000000}"/>
  <bookViews>
    <workbookView xWindow="-110" yWindow="-110" windowWidth="19420" windowHeight="11500" tabRatio="868" firstSheet="2" activeTab="2" xr2:uid="{00000000-000D-0000-FFFF-FFFF00000000}"/>
  </bookViews>
  <sheets>
    <sheet name=" SIZE " sheetId="42" r:id="rId1"/>
    <sheet name="ERCES" sheetId="43" r:id="rId2"/>
    <sheet name=" CELLULAR DAS " sheetId="44" r:id="rId3"/>
  </sheets>
  <definedNames>
    <definedName name="_xleta.ROUNDUP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39" i="44" l="1"/>
  <c r="I33" i="44"/>
  <c r="I8" i="44"/>
  <c r="I7" i="44"/>
  <c r="H37" i="43"/>
  <c r="J34" i="44" l="1"/>
  <c r="J35" i="44"/>
  <c r="J36" i="44"/>
  <c r="F25" i="42"/>
  <c r="I6" i="44"/>
  <c r="I13" i="44"/>
  <c r="I14" i="44"/>
  <c r="I16" i="44"/>
  <c r="J30" i="44"/>
  <c r="J18" i="44"/>
  <c r="J21" i="44"/>
  <c r="J23" i="44"/>
  <c r="J24" i="44"/>
  <c r="J25" i="44"/>
  <c r="J26" i="44"/>
  <c r="J27" i="44"/>
  <c r="I48" i="43"/>
  <c r="J48" i="43"/>
  <c r="J52" i="43"/>
  <c r="J51" i="43"/>
  <c r="J47" i="43"/>
  <c r="I44" i="43"/>
  <c r="H43" i="43"/>
  <c r="I43" i="43" s="1"/>
  <c r="I42" i="43"/>
  <c r="H40" i="43"/>
  <c r="I40" i="43" s="1"/>
  <c r="H38" i="43"/>
  <c r="I38" i="43" s="1"/>
  <c r="I37" i="43"/>
  <c r="I36" i="43"/>
  <c r="I35" i="43"/>
  <c r="I33" i="43"/>
  <c r="H31" i="43"/>
  <c r="I31" i="43"/>
  <c r="H30" i="43"/>
  <c r="I30" i="43"/>
  <c r="H28" i="43"/>
  <c r="I28" i="43" s="1"/>
  <c r="H26" i="43"/>
  <c r="I26" i="43" s="1"/>
  <c r="H25" i="43"/>
  <c r="I25" i="43" s="1"/>
  <c r="H23" i="43"/>
  <c r="I23" i="43" s="1"/>
  <c r="I22" i="43"/>
  <c r="I21" i="43"/>
  <c r="I19" i="43"/>
  <c r="I17" i="43"/>
  <c r="I16" i="43"/>
  <c r="I15" i="43"/>
  <c r="I13" i="43"/>
  <c r="I11" i="43"/>
  <c r="I10" i="43"/>
  <c r="I8" i="43"/>
  <c r="I7" i="43"/>
  <c r="I6" i="43"/>
  <c r="E11" i="42"/>
  <c r="G2" i="43" s="1"/>
  <c r="L47" i="43" s="1"/>
  <c r="H10" i="42"/>
  <c r="I10" i="42" s="1"/>
  <c r="H9" i="42"/>
  <c r="I9" i="42" s="1"/>
  <c r="H8" i="42"/>
  <c r="I8" i="42" s="1"/>
  <c r="H7" i="42"/>
  <c r="I7" i="42" s="1"/>
  <c r="H6" i="42"/>
  <c r="I6" i="42" s="1"/>
  <c r="H5" i="42"/>
  <c r="I5" i="42" s="1"/>
  <c r="H4" i="42"/>
  <c r="I4" i="42" s="1"/>
  <c r="F10" i="42"/>
  <c r="F9" i="42"/>
  <c r="F8" i="42"/>
  <c r="F7" i="42"/>
  <c r="F6" i="42"/>
  <c r="F5" i="42"/>
  <c r="F4" i="42"/>
  <c r="F11" i="42" s="1"/>
  <c r="I52" i="43" l="1"/>
  <c r="L52" i="43" s="1"/>
  <c r="I51" i="43"/>
  <c r="L6" i="43"/>
  <c r="L7" i="43"/>
  <c r="L8" i="43"/>
  <c r="L10" i="43"/>
  <c r="L11" i="43"/>
  <c r="L13" i="43"/>
  <c r="L15" i="43"/>
  <c r="L16" i="43"/>
  <c r="L17" i="43"/>
  <c r="L19" i="43"/>
  <c r="L21" i="43"/>
  <c r="L22" i="43"/>
  <c r="L23" i="43"/>
  <c r="L25" i="43"/>
  <c r="L26" i="43"/>
  <c r="L28" i="43"/>
  <c r="L30" i="43"/>
  <c r="L31" i="43"/>
  <c r="L33" i="43"/>
  <c r="L35" i="43"/>
  <c r="L36" i="43"/>
  <c r="L37" i="43"/>
  <c r="L38" i="43"/>
  <c r="L40" i="43"/>
  <c r="L42" i="43"/>
  <c r="L43" i="43"/>
  <c r="L44" i="43"/>
  <c r="J54" i="43"/>
  <c r="J53" i="43"/>
  <c r="L48" i="43"/>
  <c r="J57" i="43"/>
  <c r="J58" i="43" l="1"/>
  <c r="I55" i="43"/>
  <c r="L55" i="43" s="1"/>
  <c r="L51" i="43"/>
  <c r="J9" i="44"/>
  <c r="J10" i="44"/>
  <c r="J11" i="44"/>
  <c r="J12" i="44"/>
  <c r="K49" i="44"/>
  <c r="K48" i="44"/>
  <c r="I45" i="43" l="1"/>
  <c r="L45" i="43" s="1"/>
  <c r="I53" i="43" l="1"/>
  <c r="L53" i="43" s="1"/>
  <c r="I57" i="43"/>
  <c r="L57" i="43" s="1"/>
  <c r="I54" i="43" l="1"/>
  <c r="I56" i="43" s="1"/>
  <c r="L56" i="43" l="1"/>
  <c r="I58" i="43"/>
  <c r="L58" i="43" l="1"/>
  <c r="C25" i="42"/>
  <c r="I19" i="44" s="1"/>
  <c r="J19" i="44" l="1"/>
  <c r="I20" i="44"/>
  <c r="J20" i="44" s="1"/>
  <c r="I32" i="44"/>
  <c r="K32" i="44" s="1"/>
  <c r="J13" i="44"/>
  <c r="J14" i="44"/>
  <c r="J33" i="44" l="1"/>
  <c r="E25" i="42" l="1"/>
  <c r="I22" i="44" s="1"/>
  <c r="D25" i="42"/>
  <c r="G18" i="42"/>
  <c r="G19" i="42"/>
  <c r="G20" i="42"/>
  <c r="G21" i="42"/>
  <c r="G22" i="42"/>
  <c r="G23" i="42"/>
  <c r="I40" i="44" l="1"/>
  <c r="J22" i="44"/>
  <c r="J8" i="44"/>
  <c r="G25" i="42"/>
  <c r="G17" i="42" l="1"/>
  <c r="K45" i="44" l="1"/>
  <c r="J37" i="44"/>
  <c r="J31" i="44"/>
  <c r="J29" i="44"/>
  <c r="H2" i="44"/>
  <c r="G24" i="42"/>
  <c r="G16" i="42"/>
  <c r="D11" i="42"/>
  <c r="C11" i="42"/>
  <c r="M25" i="44" l="1"/>
  <c r="M26" i="44"/>
  <c r="M27" i="44"/>
  <c r="J50" i="44"/>
  <c r="M50" i="44" s="1"/>
  <c r="M12" i="44"/>
  <c r="M11" i="44"/>
  <c r="M10" i="44"/>
  <c r="M9" i="44"/>
  <c r="M13" i="44"/>
  <c r="M8" i="44"/>
  <c r="J40" i="44"/>
  <c r="M40" i="44" s="1"/>
  <c r="M23" i="44"/>
  <c r="M24" i="44"/>
  <c r="M19" i="44"/>
  <c r="M20" i="44"/>
  <c r="M14" i="44"/>
  <c r="M30" i="44"/>
  <c r="M29" i="44"/>
  <c r="M37" i="44"/>
  <c r="M32" i="44"/>
  <c r="M45" i="44"/>
  <c r="M33" i="44"/>
  <c r="M44" i="44"/>
  <c r="M31" i="44"/>
  <c r="J6" i="44"/>
  <c r="H3" i="44"/>
  <c r="I11" i="42"/>
  <c r="J7" i="44"/>
  <c r="J16" i="44"/>
  <c r="M16" i="44" s="1"/>
  <c r="K50" i="44"/>
  <c r="I25" i="42"/>
  <c r="G3" i="43" l="1"/>
  <c r="J11" i="42"/>
  <c r="N3" i="43" s="1"/>
  <c r="M6" i="44"/>
  <c r="M7" i="44"/>
  <c r="I17" i="44"/>
  <c r="J39" i="44"/>
  <c r="M39" i="44" s="1"/>
  <c r="K44" i="44" l="1"/>
  <c r="K52" i="44" s="1"/>
  <c r="J17" i="44"/>
  <c r="M17" i="44" s="1"/>
  <c r="J49" i="44"/>
  <c r="M49" i="44" s="1"/>
  <c r="J48" i="44"/>
  <c r="M48" i="44" s="1"/>
  <c r="K51" i="44"/>
  <c r="K55" i="44" s="1"/>
  <c r="K56" i="44" s="1"/>
  <c r="M22" i="44"/>
  <c r="J41" i="44" l="1"/>
  <c r="M41" i="44" s="1"/>
  <c r="J42" i="44"/>
  <c r="M42" i="44" s="1"/>
  <c r="J53" i="44"/>
  <c r="M53" i="44" s="1"/>
  <c r="J51" i="44" l="1"/>
  <c r="J52" i="44" s="1"/>
  <c r="J54" i="44" s="1"/>
  <c r="M51" i="44" l="1"/>
  <c r="J55" i="44"/>
  <c r="M55" i="44" s="1"/>
  <c r="M54" i="44"/>
  <c r="J56" i="44" l="1"/>
  <c r="M56" i="44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Felipe Dvorak</author>
  </authors>
  <commentList>
    <comment ref="H13" authorId="0" shapeId="0" xr:uid="{020DE25F-DFFB-4E1B-927F-49FC406D941F}">
      <text>
        <r>
          <rPr>
            <sz val="9"/>
            <color indexed="81"/>
            <rFont val="Tahoma"/>
            <family val="2"/>
          </rPr>
          <t xml:space="preserve">
Ask Moises for a quote</t>
        </r>
      </text>
    </comment>
  </commentList>
</comments>
</file>

<file path=xl/sharedStrings.xml><?xml version="1.0" encoding="utf-8"?>
<sst xmlns="http://schemas.openxmlformats.org/spreadsheetml/2006/main" count="301" uniqueCount="194">
  <si>
    <t>PUBLIC SAFETY</t>
  </si>
  <si>
    <t>GRID TEST REPORT (if avaliable)</t>
  </si>
  <si>
    <t>Type of Area</t>
  </si>
  <si>
    <t>sq.ft./antenna</t>
  </si>
  <si>
    <t>Floor</t>
  </si>
  <si>
    <t>RU</t>
  </si>
  <si>
    <t>Antennas</t>
  </si>
  <si>
    <t>Area (sqft)</t>
  </si>
  <si>
    <t>sqft/ant</t>
  </si>
  <si>
    <t>Passing</t>
  </si>
  <si>
    <t>Failing</t>
  </si>
  <si>
    <t>Area</t>
  </si>
  <si>
    <t>Parking</t>
  </si>
  <si>
    <t>Other</t>
  </si>
  <si>
    <t>% AREA TO CONSIDER</t>
  </si>
  <si>
    <t>TOTAL</t>
  </si>
  <si>
    <t>CELLULAR DAS</t>
  </si>
  <si>
    <t>Density</t>
  </si>
  <si>
    <t>sq.ft./40W RU</t>
  </si>
  <si>
    <t>Examples</t>
  </si>
  <si>
    <t>5W RU</t>
  </si>
  <si>
    <t>40W RU</t>
  </si>
  <si>
    <t>Open Space</t>
  </si>
  <si>
    <t>Parking garage / convention center</t>
  </si>
  <si>
    <t>Light</t>
  </si>
  <si>
    <t>Retail / restaurant</t>
  </si>
  <si>
    <t>Medium</t>
  </si>
  <si>
    <t>Office / meeting room</t>
  </si>
  <si>
    <t>Dense</t>
  </si>
  <si>
    <t>Residential / hotel / mixed-used</t>
  </si>
  <si>
    <t>High-density</t>
  </si>
  <si>
    <t>Hospital / Brick or concrete-wall buildings</t>
  </si>
  <si>
    <t>% AREA</t>
  </si>
  <si>
    <t>CODE</t>
  </si>
  <si>
    <t>Unit Price</t>
  </si>
  <si>
    <t>Qty</t>
  </si>
  <si>
    <t>Capex</t>
  </si>
  <si>
    <t>Opex</t>
  </si>
  <si>
    <t>CAPEX/SF</t>
  </si>
  <si>
    <t>Assumptions</t>
  </si>
  <si>
    <t>EQUIPMENT</t>
  </si>
  <si>
    <t>0.5W Class A BDA 700/800MHz</t>
  </si>
  <si>
    <t>RX78V1-A2748-UL</t>
  </si>
  <si>
    <t>As per Comba ROM</t>
  </si>
  <si>
    <t>2W Class A BDA 700/800MHz</t>
  </si>
  <si>
    <t>RX78V1-A3348-UL</t>
  </si>
  <si>
    <t>5W Class A BDA 700/800MHz</t>
  </si>
  <si>
    <t>RX78V2-A3748-UL</t>
  </si>
  <si>
    <t>Fiber DAS 700/800MHz Master Unit</t>
  </si>
  <si>
    <t>RH78V1-MA48E8-UL</t>
  </si>
  <si>
    <t>Fiber DAS 700/800MHz Remote Unit</t>
  </si>
  <si>
    <t>RH78V1-RA3348-UL</t>
  </si>
  <si>
    <t>700/800MHz Filter</t>
  </si>
  <si>
    <t>FP-78-IN2</t>
  </si>
  <si>
    <t>Battery Backup Unit 100 Amp-Hour Power System</t>
  </si>
  <si>
    <t>CPBBUV2-48100-UL</t>
  </si>
  <si>
    <t>Battery Backup Unit 60 Amp-Hour Power System</t>
  </si>
  <si>
    <t>CPBBUV2-48060-UL</t>
  </si>
  <si>
    <t>Battery Backup Unit 55 Amp-Hour Power System</t>
  </si>
  <si>
    <t>CPBBUV1-48055-UL</t>
  </si>
  <si>
    <t>Anunciator Panel</t>
  </si>
  <si>
    <t>CPAPV1-DC-B-UL</t>
  </si>
  <si>
    <t>Indoor Wide Band Omni Antenna</t>
  </si>
  <si>
    <t>IXD-360H04MJN</t>
  </si>
  <si>
    <t>Outdoor Directional Yagi Antenna</t>
  </si>
  <si>
    <t>OY-MN-V11P</t>
  </si>
  <si>
    <t>Type N F/F Bulkhead Coaxial RF Surge Protector</t>
  </si>
  <si>
    <t>-</t>
  </si>
  <si>
    <t>1 per Yagi Antenna</t>
  </si>
  <si>
    <t>CABLING &amp; MATERIALS</t>
  </si>
  <si>
    <t>1/2" Low Loss Air Dialectrict Plenum-Rated Cable (per ft)</t>
  </si>
  <si>
    <t>ICA12-50JPLLR</t>
  </si>
  <si>
    <t>N-Male Connector LCF12-50</t>
  </si>
  <si>
    <t>APL-NM-12</t>
  </si>
  <si>
    <t>Preterminated Single Mode Fiber</t>
  </si>
  <si>
    <t>Various XXdB Directional Couplers</t>
  </si>
  <si>
    <t>DC-RXX-ON300C(XH)</t>
  </si>
  <si>
    <t>3ft 0.141 Jumper Cable, PIM Rated, Plenum Rated, N-M to N-M</t>
  </si>
  <si>
    <t>JS-NMNM3F-R141</t>
  </si>
  <si>
    <t>Other Capex</t>
  </si>
  <si>
    <t>Fixed Amount</t>
  </si>
  <si>
    <t>ALL-IN</t>
  </si>
  <si>
    <t>NEMA-3R (1x on rooftop)</t>
  </si>
  <si>
    <t>1x on rooftop</t>
  </si>
  <si>
    <t>NEMA-4 (1x per floor)</t>
  </si>
  <si>
    <t>1x per floor</t>
  </si>
  <si>
    <t>NEMA-1 (1x per antenna)</t>
  </si>
  <si>
    <t>1x per antenna</t>
  </si>
  <si>
    <t>12x12 Access Hatch</t>
  </si>
  <si>
    <t>Electrical labor</t>
  </si>
  <si>
    <t>All -in?</t>
  </si>
  <si>
    <t>NO</t>
  </si>
  <si>
    <t>SERVICE &amp; LABOR</t>
  </si>
  <si>
    <t>Site Survey, Design &amp; Mgmt.</t>
  </si>
  <si>
    <t>Installation Labor</t>
  </si>
  <si>
    <t>Less than 10 Antennas, we should consider labor cost as $2000</t>
  </si>
  <si>
    <t>Permit</t>
  </si>
  <si>
    <t>Always need to know if Union labor is involved = $1600</t>
  </si>
  <si>
    <t>Sales Commission</t>
  </si>
  <si>
    <t>24x7 Monitoring &amp; Maintenance</t>
  </si>
  <si>
    <t>Annual Inspection</t>
  </si>
  <si>
    <t>USD</t>
  </si>
  <si>
    <t>Equipment</t>
  </si>
  <si>
    <t>Cabling &amp; Materials</t>
  </si>
  <si>
    <t>Service &amp; Labor</t>
  </si>
  <si>
    <t>SUB-TOTAL</t>
  </si>
  <si>
    <t>Shipping</t>
  </si>
  <si>
    <t>Estimated Tax</t>
  </si>
  <si>
    <t>Tax</t>
  </si>
  <si>
    <t>Contingency</t>
  </si>
  <si>
    <t xml:space="preserve"> </t>
  </si>
  <si>
    <t>TOTAL AREA</t>
  </si>
  <si>
    <t>CONSIDERED AREA</t>
  </si>
  <si>
    <t>OEM</t>
  </si>
  <si>
    <t>OEM CODE</t>
  </si>
  <si>
    <t>DAS HEAD-END</t>
  </si>
  <si>
    <t>iDAS Master Unit v2 MIMO Rack</t>
  </si>
  <si>
    <t>Comba</t>
  </si>
  <si>
    <t>MU01-RACK-E02</t>
  </si>
  <si>
    <t>1 per sector</t>
  </si>
  <si>
    <t>iDAS Master Unit Fiber Optical Unit - with 4 optical ports</t>
  </si>
  <si>
    <t>MU01-FOU-SABFOP6</t>
  </si>
  <si>
    <t>1 for each 4 RUs and at least 1 per sector</t>
  </si>
  <si>
    <t>iDAS Master Unit FOU Dummy Load</t>
  </si>
  <si>
    <t>MU01-FOU-LD</t>
  </si>
  <si>
    <t>Formula</t>
  </si>
  <si>
    <t>iDAS Master Unit RF Unit 700 lowerABC</t>
  </si>
  <si>
    <t>MU01-RFU-7LB181Q</t>
  </si>
  <si>
    <t>Up to 2 per sector / standard = 2 per sector</t>
  </si>
  <si>
    <t>iDAS Master Unit RF Unit 850MHz</t>
  </si>
  <si>
    <t>MU01-RFU-85B25Q</t>
  </si>
  <si>
    <t>iDAS Master Unit RF Unit 1900MHz</t>
  </si>
  <si>
    <t>MU01-RFU-19B65Q</t>
  </si>
  <si>
    <t>iDAS Master Unit RF Unit AWS Band</t>
  </si>
  <si>
    <t>MU01-RFU-EAWSB70Q</t>
  </si>
  <si>
    <t>iDAS Master Unit RFU Dummy Load</t>
  </si>
  <si>
    <t>MU01-RFU-LD</t>
  </si>
  <si>
    <t>Up to 8 per sector</t>
  </si>
  <si>
    <t>iDAS Master Unit Power Supply Unit</t>
  </si>
  <si>
    <t>MU01-PSU-A92E01</t>
  </si>
  <si>
    <t>REMOTE UNITS</t>
  </si>
  <si>
    <t>Remote Units 40W 4 bands</t>
  </si>
  <si>
    <t>HRU01-6800QP02A92</t>
  </si>
  <si>
    <t>Up to 8 per sector (5W + 40W)</t>
  </si>
  <si>
    <t>Outdoor Quad-Band Combiner</t>
  </si>
  <si>
    <t>CM-ACJP4-OD1(I)</t>
  </si>
  <si>
    <t>1 for each 40W RU</t>
  </si>
  <si>
    <t>Remote Unit 5W 4  bands</t>
  </si>
  <si>
    <t>MRU01-6800QP04Q</t>
  </si>
  <si>
    <t>2W/5W Remote Unit Power Supply Unit</t>
  </si>
  <si>
    <t>LRU01-PSU-A92W300</t>
  </si>
  <si>
    <t>1 for each 5W RU</t>
  </si>
  <si>
    <t>ADD'L EQUIPMENT</t>
  </si>
  <si>
    <t>Indoor Cabling &amp; Materials</t>
  </si>
  <si>
    <t>Includes cabling, connectors, jumpers, etc.</t>
  </si>
  <si>
    <t>Outdoor Cabling &amp; Materials</t>
  </si>
  <si>
    <t>Outdoor Poles</t>
  </si>
  <si>
    <t>If needed</t>
  </si>
  <si>
    <t>Donor Antenna</t>
  </si>
  <si>
    <t>GPS ( Standard)</t>
  </si>
  <si>
    <t>Headend Miscellaneous</t>
  </si>
  <si>
    <t>SIGNAL SOURCE</t>
  </si>
  <si>
    <t>Verizon Extender</t>
  </si>
  <si>
    <t>Up to 3 per sector / up to 3 per address (standard = 2 per sector)</t>
  </si>
  <si>
    <t>AT&amp;T MetroCell</t>
  </si>
  <si>
    <t>OneCell - CAPEX</t>
  </si>
  <si>
    <t>1 per property</t>
  </si>
  <si>
    <t>OneCell - OPEX</t>
  </si>
  <si>
    <t>OneCell - Extra Sector CAPEX</t>
  </si>
  <si>
    <t>1 additional per sector</t>
  </si>
  <si>
    <t>AT&amp;T Base Station</t>
  </si>
  <si>
    <t>Verizon BAse Station</t>
  </si>
  <si>
    <t>T-Mobile Base Station</t>
  </si>
  <si>
    <t>Comba mBDA</t>
  </si>
  <si>
    <t>"Internal Labor" with travel expenses /  adjust for extra traveling costs / keep total CAPEX above $10,000</t>
  </si>
  <si>
    <t>"External Labor" with travel expenses / adjust for extra traveling costs, union labor, infection control tent, etc.</t>
  </si>
  <si>
    <t>Sales Commission estimate</t>
  </si>
  <si>
    <t>GPO Fee</t>
  </si>
  <si>
    <t>GPO Fee estimate -- If required (for hospitals)</t>
  </si>
  <si>
    <t>Monitoring &amp; Maintenance</t>
  </si>
  <si>
    <t>12 * cell O42</t>
  </si>
  <si>
    <t>Insurance</t>
  </si>
  <si>
    <t>Standard / fix cost</t>
  </si>
  <si>
    <t>Comba Equipment</t>
  </si>
  <si>
    <t>Additional Equipment</t>
  </si>
  <si>
    <t>Signal Sources</t>
  </si>
  <si>
    <t>Sectors</t>
  </si>
  <si>
    <t>Assume 2nd sector if bldg. has more then 300 people/carrier (900 people total)</t>
  </si>
  <si>
    <t>Design &amp; Deployment</t>
  </si>
  <si>
    <t>Monit. &amp; Maintenance</t>
  </si>
  <si>
    <t>Approx. 1% of the area, no less than $200</t>
  </si>
  <si>
    <t>Standard shipping cost</t>
  </si>
  <si>
    <t>Standard rate - confirm if taxes are correct and should be included</t>
  </si>
  <si>
    <t>5% with a design / 10% without a design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</si>
</sst>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-* #,##0.00_-;\-* #,##0.00_-;_-* &quot;-&quot;??_-;_-@_-"/>
    <numFmt numFmtId="165" formatCode="#,##0\ &quot;sq ft&quot;;\(#,##0\)\ &quot;sq ft&quot;;&quot;-&quot;"/>
    <numFmt numFmtId="166" formatCode="#,##0;\(#,##0\);&quot;-&quot;"/>
    <numFmt numFmtId="167" formatCode="0.0%"/>
    <numFmt numFmtId="168" formatCode="[$$-409]#,##0"/>
    <numFmt numFmtId="169" formatCode="#,##0\ &quot;sq ft&quot;"/>
    <numFmt numFmtId="170" formatCode="\$\ #,##0;[Red]\-\ \$\ #,##0;\-;@"/>
    <numFmt numFmtId="171" formatCode="_([$$-409]* #,##0_);_([$$-409]* \(#,##0\);_([$$-409]* &quot;-&quot;??_);_(@_)"/>
  </numFmts>
  <fonts count="2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u val="singleAccounting"/>
      <sz val="11"/>
      <name val="Calibri"/>
      <family val="2"/>
      <scheme val="minor"/>
    </font>
    <font>
      <sz val="11"/>
      <name val="Calibri"/>
      <family val="2"/>
      <scheme val="minor"/>
    </font>
    <font>
      <b/>
      <u val="singleAccounting"/>
      <sz val="11"/>
      <color theme="1"/>
      <name val="Calibri"/>
      <family val="2"/>
      <scheme val="minor"/>
    </font>
    <font>
      <i/>
      <sz val="11"/>
      <color theme="1" tint="0.34998626667073579"/>
      <name val="Calibri"/>
      <family val="2"/>
      <scheme val="minor"/>
    </font>
    <font>
      <b/>
      <i/>
      <sz val="11"/>
      <color theme="1" tint="0.34998626667073579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b/>
      <i/>
      <u val="singleAccounting"/>
      <sz val="11"/>
      <name val="Calibri"/>
      <family val="2"/>
      <scheme val="minor"/>
    </font>
    <font>
      <i/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sz val="11"/>
      <color theme="1" tint="0.34998626667073579"/>
      <name val="Calibri"/>
      <family val="2"/>
      <scheme val="minor"/>
    </font>
    <font>
      <b/>
      <sz val="10"/>
      <color theme="1" tint="0.34998626667073579"/>
      <name val="Calibri"/>
      <family val="2"/>
      <scheme val="minor"/>
    </font>
    <font>
      <b/>
      <sz val="11"/>
      <color theme="1" tint="0.34998626667073579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11"/>
      <color theme="1" tint="0.499984740745262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242424"/>
      <name val="Aptos Narrow"/>
      <charset val="1"/>
    </font>
    <font>
      <b/>
      <sz val="12"/>
      <color theme="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lightDown">
        <fgColor theme="0" tint="-0.14996795556505021"/>
        <bgColor indexed="65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D52B1E"/>
        <bgColor indexed="64"/>
      </patternFill>
    </fill>
    <fill>
      <patternFill patternType="solid">
        <fgColor rgb="FF1F8FB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41">
    <border>
      <left/>
      <right/>
      <top/>
      <bottom/>
      <diagonal/>
    </border>
    <border>
      <left/>
      <right/>
      <top style="dotted">
        <color auto="1"/>
      </top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/>
      <top style="thin">
        <color indexed="64"/>
      </top>
      <bottom/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1"/>
      </bottom>
      <diagonal/>
    </border>
    <border>
      <left style="thin">
        <color theme="0"/>
      </left>
      <right style="thin">
        <color theme="0"/>
      </right>
      <top/>
      <bottom style="thin">
        <color theme="1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/>
      <right/>
      <top/>
      <bottom style="thin">
        <color theme="0" tint="-0.34998626667073579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34998626667073579"/>
      </bottom>
      <diagonal/>
    </border>
    <border>
      <left style="thin">
        <color theme="0" tint="-0.24994659260841701"/>
      </left>
      <right/>
      <top/>
      <bottom style="thin">
        <color theme="0" tint="-0.34998626667073579"/>
      </bottom>
      <diagonal/>
    </border>
    <border>
      <left style="thin">
        <color theme="0" tint="-0.24994659260841701"/>
      </left>
      <right/>
      <top/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/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medium">
        <color rgb="FF000000"/>
      </top>
      <bottom style="thin">
        <color theme="0"/>
      </bottom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/>
      </top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/>
      </bottom>
      <diagonal/>
    </border>
    <border>
      <left style="medium">
        <color theme="0"/>
      </left>
      <right style="medium">
        <color rgb="FF000000"/>
      </right>
      <top style="medium">
        <color theme="0"/>
      </top>
      <bottom style="medium">
        <color rgb="FF000000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/>
      </top>
      <bottom/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15">
    <xf numFmtId="0" fontId="0" fillId="0" borderId="0" xfId="0"/>
    <xf numFmtId="0" fontId="0" fillId="0" borderId="0" xfId="0" applyAlignment="1">
      <alignment vertical="center"/>
    </xf>
    <xf numFmtId="0" fontId="3" fillId="0" borderId="0" xfId="0" applyFont="1" applyAlignment="1">
      <alignment horizontal="center"/>
    </xf>
    <xf numFmtId="165" fontId="4" fillId="0" borderId="0" xfId="1" applyNumberFormat="1" applyFont="1" applyFill="1" applyBorder="1" applyAlignment="1">
      <alignment vertical="top"/>
    </xf>
    <xf numFmtId="0" fontId="6" fillId="0" borderId="0" xfId="0" applyFont="1" applyAlignment="1">
      <alignment horizontal="left" vertical="center" indent="1"/>
    </xf>
    <xf numFmtId="0" fontId="6" fillId="0" borderId="0" xfId="0" applyFont="1" applyAlignment="1">
      <alignment vertical="center"/>
    </xf>
    <xf numFmtId="166" fontId="6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left" indent="1"/>
    </xf>
    <xf numFmtId="0" fontId="6" fillId="0" borderId="0" xfId="0" applyFont="1"/>
    <xf numFmtId="167" fontId="6" fillId="0" borderId="0" xfId="2" applyNumberFormat="1" applyFont="1" applyFill="1" applyAlignment="1">
      <alignment horizontal="center" vertical="center"/>
    </xf>
    <xf numFmtId="0" fontId="0" fillId="0" borderId="1" xfId="0" applyBorder="1"/>
    <xf numFmtId="0" fontId="0" fillId="0" borderId="1" xfId="0" applyBorder="1" applyAlignment="1">
      <alignment vertical="center"/>
    </xf>
    <xf numFmtId="0" fontId="6" fillId="0" borderId="1" xfId="0" applyFont="1" applyBorder="1" applyAlignment="1">
      <alignment horizontal="left" vertical="center" indent="1"/>
    </xf>
    <xf numFmtId="0" fontId="6" fillId="0" borderId="1" xfId="0" applyFont="1" applyBorder="1" applyAlignment="1">
      <alignment vertical="center"/>
    </xf>
    <xf numFmtId="166" fontId="6" fillId="0" borderId="1" xfId="0" applyNumberFormat="1" applyFont="1" applyBorder="1" applyAlignment="1">
      <alignment horizontal="center" vertical="center"/>
    </xf>
    <xf numFmtId="0" fontId="3" fillId="0" borderId="0" xfId="0" applyFont="1"/>
    <xf numFmtId="0" fontId="0" fillId="0" borderId="0" xfId="0" applyAlignment="1">
      <alignment horizontal="center"/>
    </xf>
    <xf numFmtId="9" fontId="6" fillId="0" borderId="0" xfId="2" applyFont="1" applyAlignment="1">
      <alignment horizontal="center" vertical="center"/>
    </xf>
    <xf numFmtId="0" fontId="4" fillId="0" borderId="0" xfId="0" applyFont="1"/>
    <xf numFmtId="9" fontId="4" fillId="0" borderId="0" xfId="0" applyNumberFormat="1" applyFont="1" applyAlignment="1">
      <alignment horizontal="center"/>
    </xf>
    <xf numFmtId="0" fontId="7" fillId="0" borderId="0" xfId="0" applyFont="1" applyAlignment="1">
      <alignment horizontal="centerContinuous"/>
    </xf>
    <xf numFmtId="0" fontId="5" fillId="0" borderId="0" xfId="0" applyFont="1" applyAlignment="1">
      <alignment horizontal="center"/>
    </xf>
    <xf numFmtId="0" fontId="8" fillId="0" borderId="0" xfId="0" applyFont="1" applyAlignment="1">
      <alignment vertical="center"/>
    </xf>
    <xf numFmtId="166" fontId="8" fillId="0" borderId="0" xfId="0" applyNumberFormat="1" applyFont="1" applyAlignment="1">
      <alignment horizontal="center" vertical="center"/>
    </xf>
    <xf numFmtId="166" fontId="9" fillId="0" borderId="0" xfId="0" applyNumberFormat="1" applyFont="1" applyAlignment="1">
      <alignment vertical="center"/>
    </xf>
    <xf numFmtId="0" fontId="10" fillId="0" borderId="0" xfId="0" applyFont="1" applyAlignment="1">
      <alignment vertical="center"/>
    </xf>
    <xf numFmtId="166" fontId="0" fillId="0" borderId="0" xfId="0" applyNumberFormat="1" applyAlignment="1">
      <alignment vertical="center"/>
    </xf>
    <xf numFmtId="0" fontId="0" fillId="0" borderId="0" xfId="0" applyAlignment="1">
      <alignment horizontal="center" vertic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 vertical="center" indent="1"/>
    </xf>
    <xf numFmtId="0" fontId="15" fillId="0" borderId="0" xfId="0" applyFont="1"/>
    <xf numFmtId="2" fontId="0" fillId="0" borderId="0" xfId="0" applyNumberFormat="1" applyAlignment="1">
      <alignment vertical="center"/>
    </xf>
    <xf numFmtId="0" fontId="3" fillId="0" borderId="0" xfId="0" applyFont="1" applyAlignment="1">
      <alignment horizontal="right" indent="1"/>
    </xf>
    <xf numFmtId="0" fontId="16" fillId="0" borderId="0" xfId="0" applyFont="1"/>
    <xf numFmtId="0" fontId="16" fillId="0" borderId="8" xfId="0" applyFont="1" applyBorder="1"/>
    <xf numFmtId="0" fontId="17" fillId="0" borderId="8" xfId="0" applyFont="1" applyBorder="1" applyAlignment="1">
      <alignment horizontal="center"/>
    </xf>
    <xf numFmtId="0" fontId="8" fillId="0" borderId="0" xfId="0" applyFont="1"/>
    <xf numFmtId="0" fontId="15" fillId="0" borderId="0" xfId="0" applyFont="1" applyAlignment="1">
      <alignment vertical="center"/>
    </xf>
    <xf numFmtId="2" fontId="16" fillId="0" borderId="9" xfId="0" applyNumberFormat="1" applyFont="1" applyBorder="1" applyAlignment="1">
      <alignment horizontal="center" vertical="center"/>
    </xf>
    <xf numFmtId="2" fontId="16" fillId="4" borderId="9" xfId="0" applyNumberFormat="1" applyFont="1" applyFill="1" applyBorder="1" applyAlignment="1">
      <alignment horizontal="center" vertical="center"/>
    </xf>
    <xf numFmtId="2" fontId="18" fillId="4" borderId="9" xfId="0" applyNumberFormat="1" applyFont="1" applyFill="1" applyBorder="1"/>
    <xf numFmtId="0" fontId="16" fillId="0" borderId="0" xfId="0" applyFont="1" applyAlignment="1">
      <alignment vertical="center"/>
    </xf>
    <xf numFmtId="0" fontId="3" fillId="0" borderId="0" xfId="0" applyFont="1" applyAlignment="1">
      <alignment horizontal="left" vertical="center"/>
    </xf>
    <xf numFmtId="0" fontId="13" fillId="0" borderId="0" xfId="0" applyFont="1" applyAlignment="1">
      <alignment horizontal="left" vertical="center"/>
    </xf>
    <xf numFmtId="166" fontId="6" fillId="3" borderId="11" xfId="0" quotePrefix="1" applyNumberFormat="1" applyFont="1" applyFill="1" applyBorder="1" applyAlignment="1">
      <alignment horizontal="center" vertical="center"/>
    </xf>
    <xf numFmtId="166" fontId="6" fillId="3" borderId="10" xfId="0" quotePrefix="1" applyNumberFormat="1" applyFont="1" applyFill="1" applyBorder="1" applyAlignment="1">
      <alignment horizontal="center" vertical="center"/>
    </xf>
    <xf numFmtId="166" fontId="6" fillId="3" borderId="11" xfId="0" applyNumberFormat="1" applyFont="1" applyFill="1" applyBorder="1" applyAlignment="1">
      <alignment horizontal="center" vertical="center"/>
    </xf>
    <xf numFmtId="166" fontId="6" fillId="3" borderId="10" xfId="0" applyNumberFormat="1" applyFont="1" applyFill="1" applyBorder="1" applyAlignment="1">
      <alignment horizontal="center" vertical="center"/>
    </xf>
    <xf numFmtId="166" fontId="3" fillId="0" borderId="12" xfId="0" applyNumberFormat="1" applyFont="1" applyBorder="1" applyAlignment="1">
      <alignment horizontal="center" vertical="center"/>
    </xf>
    <xf numFmtId="167" fontId="3" fillId="0" borderId="12" xfId="2" applyNumberFormat="1" applyFont="1" applyFill="1" applyBorder="1" applyAlignment="1">
      <alignment horizontal="center" vertical="center"/>
    </xf>
    <xf numFmtId="167" fontId="0" fillId="3" borderId="2" xfId="0" applyNumberFormat="1" applyFill="1" applyBorder="1" applyAlignment="1">
      <alignment horizontal="center" vertical="center"/>
    </xf>
    <xf numFmtId="2" fontId="2" fillId="7" borderId="9" xfId="0" applyNumberFormat="1" applyFont="1" applyFill="1" applyBorder="1" applyAlignment="1">
      <alignment horizontal="center" vertical="center"/>
    </xf>
    <xf numFmtId="0" fontId="2" fillId="7" borderId="0" xfId="0" applyFont="1" applyFill="1" applyAlignment="1">
      <alignment horizontal="left" vertical="center" indent="1"/>
    </xf>
    <xf numFmtId="0" fontId="6" fillId="3" borderId="2" xfId="0" applyFont="1" applyFill="1" applyBorder="1" applyAlignment="1">
      <alignment horizontal="center" vertical="center"/>
    </xf>
    <xf numFmtId="168" fontId="6" fillId="3" borderId="2" xfId="0" applyNumberFormat="1" applyFont="1" applyFill="1" applyBorder="1" applyAlignment="1">
      <alignment horizontal="center" vertical="center"/>
    </xf>
    <xf numFmtId="0" fontId="2" fillId="7" borderId="3" xfId="0" applyFont="1" applyFill="1" applyBorder="1" applyAlignment="1">
      <alignment horizontal="center" vertical="center"/>
    </xf>
    <xf numFmtId="166" fontId="3" fillId="0" borderId="0" xfId="0" applyNumberFormat="1" applyFont="1" applyAlignment="1">
      <alignment horizontal="center" vertical="center"/>
    </xf>
    <xf numFmtId="166" fontId="14" fillId="0" borderId="0" xfId="0" applyNumberFormat="1" applyFont="1" applyAlignment="1">
      <alignment horizontal="center" vertical="center"/>
    </xf>
    <xf numFmtId="166" fontId="6" fillId="3" borderId="15" xfId="0" quotePrefix="1" applyNumberFormat="1" applyFont="1" applyFill="1" applyBorder="1" applyAlignment="1">
      <alignment horizontal="center" vertical="center"/>
    </xf>
    <xf numFmtId="166" fontId="6" fillId="3" borderId="15" xfId="0" applyNumberFormat="1" applyFont="1" applyFill="1" applyBorder="1" applyAlignment="1">
      <alignment horizontal="center" vertical="center"/>
    </xf>
    <xf numFmtId="0" fontId="2" fillId="7" borderId="3" xfId="0" applyFont="1" applyFill="1" applyBorder="1" applyAlignment="1">
      <alignment horizontal="centerContinuous" vertical="center"/>
    </xf>
    <xf numFmtId="0" fontId="0" fillId="0" borderId="18" xfId="0" applyBorder="1"/>
    <xf numFmtId="0" fontId="0" fillId="0" borderId="18" xfId="0" applyBorder="1" applyAlignment="1">
      <alignment vertical="center"/>
    </xf>
    <xf numFmtId="0" fontId="15" fillId="0" borderId="0" xfId="0" applyFont="1" applyAlignment="1">
      <alignment horizontal="left" vertical="center" indent="1"/>
    </xf>
    <xf numFmtId="0" fontId="2" fillId="8" borderId="3" xfId="0" applyFont="1" applyFill="1" applyBorder="1" applyAlignment="1">
      <alignment horizontal="center" vertical="center"/>
    </xf>
    <xf numFmtId="0" fontId="22" fillId="0" borderId="21" xfId="0" applyFont="1" applyBorder="1" applyAlignment="1">
      <alignment horizontal="center" vertical="center"/>
    </xf>
    <xf numFmtId="0" fontId="22" fillId="0" borderId="22" xfId="0" applyFont="1" applyBorder="1" applyAlignment="1">
      <alignment horizontal="center" vertical="center"/>
    </xf>
    <xf numFmtId="166" fontId="15" fillId="0" borderId="8" xfId="0" applyNumberFormat="1" applyFont="1" applyBorder="1" applyAlignment="1">
      <alignment horizontal="center" vertical="center"/>
    </xf>
    <xf numFmtId="0" fontId="22" fillId="0" borderId="23" xfId="0" applyFont="1" applyBorder="1" applyAlignment="1">
      <alignment horizontal="center" vertical="center"/>
    </xf>
    <xf numFmtId="166" fontId="15" fillId="0" borderId="24" xfId="0" applyNumberFormat="1" applyFont="1" applyBorder="1" applyAlignment="1">
      <alignment horizontal="center" vertical="center"/>
    </xf>
    <xf numFmtId="170" fontId="6" fillId="0" borderId="0" xfId="0" applyNumberFormat="1" applyFont="1" applyAlignment="1">
      <alignment horizontal="right" vertical="center" indent="1"/>
    </xf>
    <xf numFmtId="170" fontId="6" fillId="0" borderId="1" xfId="0" applyNumberFormat="1" applyFont="1" applyBorder="1" applyAlignment="1">
      <alignment horizontal="right" vertical="center" indent="1"/>
    </xf>
    <xf numFmtId="170" fontId="2" fillId="7" borderId="0" xfId="0" applyNumberFormat="1" applyFont="1" applyFill="1" applyAlignment="1">
      <alignment horizontal="right" vertical="center" indent="1"/>
    </xf>
    <xf numFmtId="166" fontId="15" fillId="0" borderId="0" xfId="0" applyNumberFormat="1" applyFont="1" applyAlignment="1">
      <alignment horizontal="center" vertical="center"/>
    </xf>
    <xf numFmtId="166" fontId="6" fillId="3" borderId="25" xfId="0" quotePrefix="1" applyNumberFormat="1" applyFont="1" applyFill="1" applyBorder="1" applyAlignment="1">
      <alignment horizontal="center" vertical="center"/>
    </xf>
    <xf numFmtId="166" fontId="6" fillId="3" borderId="25" xfId="0" applyNumberFormat="1" applyFont="1" applyFill="1" applyBorder="1" applyAlignment="1">
      <alignment horizontal="center" vertical="center"/>
    </xf>
    <xf numFmtId="166" fontId="6" fillId="3" borderId="26" xfId="0" quotePrefix="1" applyNumberFormat="1" applyFont="1" applyFill="1" applyBorder="1" applyAlignment="1">
      <alignment horizontal="center" vertical="center"/>
    </xf>
    <xf numFmtId="166" fontId="6" fillId="3" borderId="26" xfId="0" applyNumberFormat="1" applyFont="1" applyFill="1" applyBorder="1" applyAlignment="1">
      <alignment horizontal="center" vertical="center"/>
    </xf>
    <xf numFmtId="167" fontId="6" fillId="3" borderId="25" xfId="2" applyNumberFormat="1" applyFont="1" applyFill="1" applyBorder="1" applyAlignment="1">
      <alignment horizontal="center" vertical="center"/>
    </xf>
    <xf numFmtId="167" fontId="0" fillId="0" borderId="0" xfId="0" applyNumberFormat="1" applyAlignment="1">
      <alignment vertical="center"/>
    </xf>
    <xf numFmtId="0" fontId="3" fillId="6" borderId="2" xfId="0" applyFont="1" applyFill="1" applyBorder="1" applyAlignment="1">
      <alignment horizontal="right" vertical="center" indent="1"/>
    </xf>
    <xf numFmtId="167" fontId="0" fillId="2" borderId="2" xfId="0" applyNumberFormat="1" applyFill="1" applyBorder="1" applyAlignment="1">
      <alignment horizontal="center" vertical="center"/>
    </xf>
    <xf numFmtId="167" fontId="0" fillId="10" borderId="2" xfId="0" applyNumberFormat="1" applyFill="1" applyBorder="1" applyAlignment="1">
      <alignment horizontal="center" vertical="center"/>
    </xf>
    <xf numFmtId="171" fontId="0" fillId="0" borderId="0" xfId="0" applyNumberFormat="1"/>
    <xf numFmtId="171" fontId="5" fillId="0" borderId="0" xfId="0" applyNumberFormat="1" applyFont="1" applyAlignment="1">
      <alignment horizontal="center"/>
    </xf>
    <xf numFmtId="171" fontId="6" fillId="0" borderId="0" xfId="0" applyNumberFormat="1" applyFont="1" applyAlignment="1">
      <alignment horizontal="center" vertical="center"/>
    </xf>
    <xf numFmtId="171" fontId="6" fillId="0" borderId="0" xfId="0" applyNumberFormat="1" applyFont="1"/>
    <xf numFmtId="171" fontId="6" fillId="0" borderId="1" xfId="0" applyNumberFormat="1" applyFont="1" applyBorder="1" applyAlignment="1">
      <alignment horizontal="center" vertical="center"/>
    </xf>
    <xf numFmtId="171" fontId="6" fillId="0" borderId="0" xfId="2" applyNumberFormat="1" applyFont="1" applyAlignment="1">
      <alignment horizontal="center" vertical="center"/>
    </xf>
    <xf numFmtId="171" fontId="23" fillId="0" borderId="0" xfId="2" applyNumberFormat="1" applyFont="1" applyAlignment="1">
      <alignment horizontal="center" vertical="center"/>
    </xf>
    <xf numFmtId="171" fontId="6" fillId="0" borderId="0" xfId="2" applyNumberFormat="1" applyFont="1" applyFill="1" applyAlignment="1">
      <alignment horizontal="center" vertical="center"/>
    </xf>
    <xf numFmtId="171" fontId="4" fillId="0" borderId="0" xfId="0" applyNumberFormat="1" applyFont="1" applyAlignment="1">
      <alignment horizontal="center"/>
    </xf>
    <xf numFmtId="171" fontId="4" fillId="0" borderId="0" xfId="0" applyNumberFormat="1" applyFont="1"/>
    <xf numFmtId="171" fontId="0" fillId="0" borderId="0" xfId="0" applyNumberFormat="1" applyAlignment="1">
      <alignment horizontal="center"/>
    </xf>
    <xf numFmtId="171" fontId="4" fillId="0" borderId="0" xfId="1" applyNumberFormat="1" applyFont="1"/>
    <xf numFmtId="171" fontId="0" fillId="0" borderId="0" xfId="1" applyNumberFormat="1" applyFont="1"/>
    <xf numFmtId="170" fontId="6" fillId="11" borderId="0" xfId="0" applyNumberFormat="1" applyFont="1" applyFill="1" applyAlignment="1">
      <alignment horizontal="right" vertical="center" indent="1"/>
    </xf>
    <xf numFmtId="0" fontId="24" fillId="0" borderId="0" xfId="0" applyFont="1" applyAlignment="1">
      <alignment wrapText="1"/>
    </xf>
    <xf numFmtId="9" fontId="0" fillId="3" borderId="0" xfId="0" applyNumberFormat="1" applyFill="1" applyAlignment="1">
      <alignment horizontal="center"/>
    </xf>
    <xf numFmtId="171" fontId="2" fillId="7" borderId="0" xfId="0" applyNumberFormat="1" applyFont="1" applyFill="1" applyAlignment="1">
      <alignment horizontal="center" vertical="center"/>
    </xf>
    <xf numFmtId="0" fontId="0" fillId="0" borderId="29" xfId="0" applyBorder="1" applyAlignment="1">
      <alignment vertical="center"/>
    </xf>
    <xf numFmtId="0" fontId="6" fillId="0" borderId="29" xfId="0" applyFont="1" applyBorder="1" applyAlignment="1">
      <alignment horizontal="left" vertical="center" indent="1"/>
    </xf>
    <xf numFmtId="0" fontId="12" fillId="0" borderId="29" xfId="0" applyFont="1" applyBorder="1" applyAlignment="1">
      <alignment horizontal="left" vertical="center" indent="1"/>
    </xf>
    <xf numFmtId="0" fontId="6" fillId="0" borderId="29" xfId="0" applyFont="1" applyBorder="1" applyAlignment="1">
      <alignment vertical="center"/>
    </xf>
    <xf numFmtId="171" fontId="6" fillId="0" borderId="29" xfId="0" applyNumberFormat="1" applyFont="1" applyBorder="1" applyAlignment="1">
      <alignment horizontal="center" vertical="center"/>
    </xf>
    <xf numFmtId="166" fontId="6" fillId="11" borderId="29" xfId="0" applyNumberFormat="1" applyFont="1" applyFill="1" applyBorder="1" applyAlignment="1">
      <alignment horizontal="center" vertical="center"/>
    </xf>
    <xf numFmtId="2" fontId="16" fillId="0" borderId="30" xfId="0" applyNumberFormat="1" applyFont="1" applyBorder="1" applyAlignment="1">
      <alignment horizontal="center" vertical="center"/>
    </xf>
    <xf numFmtId="0" fontId="10" fillId="0" borderId="31" xfId="0" applyFont="1" applyBorder="1" applyAlignment="1">
      <alignment vertical="center"/>
    </xf>
    <xf numFmtId="166" fontId="6" fillId="11" borderId="0" xfId="0" applyNumberFormat="1" applyFont="1" applyFill="1" applyAlignment="1">
      <alignment horizontal="center" vertical="center"/>
    </xf>
    <xf numFmtId="0" fontId="10" fillId="0" borderId="33" xfId="0" applyFont="1" applyBorder="1" applyAlignment="1">
      <alignment vertical="center"/>
    </xf>
    <xf numFmtId="0" fontId="6" fillId="11" borderId="0" xfId="0" applyFont="1" applyFill="1"/>
    <xf numFmtId="0" fontId="15" fillId="0" borderId="33" xfId="0" applyFont="1" applyBorder="1"/>
    <xf numFmtId="166" fontId="0" fillId="11" borderId="0" xfId="0" applyNumberFormat="1" applyFill="1" applyAlignment="1">
      <alignment horizontal="center" vertical="center"/>
    </xf>
    <xf numFmtId="0" fontId="0" fillId="0" borderId="35" xfId="0" applyBorder="1" applyAlignment="1">
      <alignment vertical="center"/>
    </xf>
    <xf numFmtId="0" fontId="6" fillId="0" borderId="35" xfId="0" applyFont="1" applyBorder="1" applyAlignment="1">
      <alignment horizontal="left" vertical="center" indent="1"/>
    </xf>
    <xf numFmtId="0" fontId="12" fillId="0" borderId="35" xfId="0" applyFont="1" applyBorder="1" applyAlignment="1">
      <alignment horizontal="left" indent="1"/>
    </xf>
    <xf numFmtId="0" fontId="6" fillId="0" borderId="35" xfId="0" applyFont="1" applyBorder="1" applyAlignment="1">
      <alignment vertical="center"/>
    </xf>
    <xf numFmtId="171" fontId="6" fillId="0" borderId="35" xfId="0" applyNumberFormat="1" applyFont="1" applyBorder="1" applyAlignment="1">
      <alignment horizontal="center" vertical="center"/>
    </xf>
    <xf numFmtId="166" fontId="6" fillId="0" borderId="35" xfId="0" applyNumberFormat="1" applyFont="1" applyBorder="1" applyAlignment="1">
      <alignment horizontal="center" vertical="center"/>
    </xf>
    <xf numFmtId="2" fontId="16" fillId="0" borderId="36" xfId="0" applyNumberFormat="1" applyFont="1" applyBorder="1" applyAlignment="1">
      <alignment horizontal="center" vertical="center"/>
    </xf>
    <xf numFmtId="0" fontId="10" fillId="0" borderId="37" xfId="0" applyFont="1" applyBorder="1" applyAlignment="1">
      <alignment vertical="center"/>
    </xf>
    <xf numFmtId="2" fontId="16" fillId="4" borderId="38" xfId="0" applyNumberFormat="1" applyFont="1" applyFill="1" applyBorder="1" applyAlignment="1">
      <alignment horizontal="center" vertical="center"/>
    </xf>
    <xf numFmtId="166" fontId="6" fillId="0" borderId="29" xfId="0" applyNumberFormat="1" applyFont="1" applyBorder="1" applyAlignment="1">
      <alignment horizontal="center" vertical="center"/>
    </xf>
    <xf numFmtId="0" fontId="12" fillId="0" borderId="35" xfId="0" applyFont="1" applyBorder="1" applyAlignment="1">
      <alignment horizontal="left" vertical="center" indent="1"/>
    </xf>
    <xf numFmtId="2" fontId="16" fillId="4" borderId="8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vertical="center"/>
    </xf>
    <xf numFmtId="0" fontId="0" fillId="0" borderId="29" xfId="0" applyBorder="1"/>
    <xf numFmtId="0" fontId="6" fillId="0" borderId="29" xfId="0" applyFont="1" applyBorder="1" applyAlignment="1">
      <alignment horizontal="left" indent="1"/>
    </xf>
    <xf numFmtId="0" fontId="6" fillId="0" borderId="29" xfId="0" applyFont="1" applyBorder="1"/>
    <xf numFmtId="0" fontId="8" fillId="0" borderId="33" xfId="0" applyFont="1" applyBorder="1" applyAlignment="1">
      <alignment vertical="center"/>
    </xf>
    <xf numFmtId="0" fontId="0" fillId="0" borderId="35" xfId="0" applyBorder="1"/>
    <xf numFmtId="0" fontId="6" fillId="0" borderId="35" xfId="0" applyFont="1" applyBorder="1" applyAlignment="1">
      <alignment horizontal="left" indent="1"/>
    </xf>
    <xf numFmtId="0" fontId="6" fillId="0" borderId="35" xfId="0" applyFont="1" applyBorder="1"/>
    <xf numFmtId="171" fontId="0" fillId="0" borderId="35" xfId="0" applyNumberFormat="1" applyBorder="1" applyAlignment="1">
      <alignment horizontal="center" vertical="center"/>
    </xf>
    <xf numFmtId="0" fontId="3" fillId="6" borderId="39" xfId="0" applyFont="1" applyFill="1" applyBorder="1" applyAlignment="1">
      <alignment horizontal="right" vertical="center" indent="1"/>
    </xf>
    <xf numFmtId="167" fontId="0" fillId="2" borderId="7" xfId="0" applyNumberFormat="1" applyFill="1" applyBorder="1" applyAlignment="1">
      <alignment horizontal="center" vertical="center"/>
    </xf>
    <xf numFmtId="171" fontId="0" fillId="0" borderId="29" xfId="0" applyNumberFormat="1" applyBorder="1" applyAlignment="1">
      <alignment horizontal="center" vertical="center"/>
    </xf>
    <xf numFmtId="0" fontId="8" fillId="0" borderId="31" xfId="0" applyFont="1" applyBorder="1" applyAlignment="1">
      <alignment vertical="center"/>
    </xf>
    <xf numFmtId="171" fontId="0" fillId="0" borderId="0" xfId="0" applyNumberFormat="1" applyAlignment="1">
      <alignment horizontal="center" vertical="center"/>
    </xf>
    <xf numFmtId="0" fontId="0" fillId="0" borderId="33" xfId="0" applyBorder="1" applyAlignment="1">
      <alignment vertical="center"/>
    </xf>
    <xf numFmtId="171" fontId="0" fillId="0" borderId="35" xfId="0" applyNumberFormat="1" applyBorder="1" applyAlignment="1">
      <alignment vertical="center"/>
    </xf>
    <xf numFmtId="0" fontId="0" fillId="0" borderId="37" xfId="0" applyBorder="1" applyAlignment="1">
      <alignment vertical="center"/>
    </xf>
    <xf numFmtId="170" fontId="6" fillId="11" borderId="29" xfId="0" applyNumberFormat="1" applyFont="1" applyFill="1" applyBorder="1" applyAlignment="1">
      <alignment horizontal="right" vertical="center" indent="1"/>
    </xf>
    <xf numFmtId="170" fontId="6" fillId="0" borderId="29" xfId="0" applyNumberFormat="1" applyFont="1" applyBorder="1" applyAlignment="1">
      <alignment horizontal="right" vertical="center" indent="1"/>
    </xf>
    <xf numFmtId="170" fontId="6" fillId="11" borderId="35" xfId="0" applyNumberFormat="1" applyFont="1" applyFill="1" applyBorder="1" applyAlignment="1">
      <alignment horizontal="right" vertical="center" indent="1"/>
    </xf>
    <xf numFmtId="166" fontId="6" fillId="11" borderId="35" xfId="0" applyNumberFormat="1" applyFont="1" applyFill="1" applyBorder="1" applyAlignment="1">
      <alignment horizontal="center" vertical="center"/>
    </xf>
    <xf numFmtId="170" fontId="6" fillId="0" borderId="35" xfId="0" applyNumberFormat="1" applyFont="1" applyBorder="1" applyAlignment="1">
      <alignment horizontal="right" vertical="center" indent="1"/>
    </xf>
    <xf numFmtId="0" fontId="15" fillId="0" borderId="31" xfId="0" applyFont="1" applyBorder="1" applyAlignment="1">
      <alignment vertical="center" wrapText="1"/>
    </xf>
    <xf numFmtId="0" fontId="15" fillId="0" borderId="33" xfId="0" applyFont="1" applyBorder="1" applyAlignment="1">
      <alignment vertical="center" wrapText="1"/>
    </xf>
    <xf numFmtId="0" fontId="15" fillId="0" borderId="37" xfId="0" applyFont="1" applyBorder="1" applyAlignment="1">
      <alignment vertical="center" wrapText="1"/>
    </xf>
    <xf numFmtId="0" fontId="15" fillId="0" borderId="0" xfId="0" applyFont="1" applyAlignment="1">
      <alignment vertical="center" wrapText="1"/>
    </xf>
    <xf numFmtId="0" fontId="0" fillId="0" borderId="0" xfId="0" applyAlignment="1">
      <alignment vertical="center" wrapText="1"/>
    </xf>
    <xf numFmtId="0" fontId="2" fillId="8" borderId="2" xfId="0" applyFont="1" applyFill="1" applyBorder="1" applyAlignment="1">
      <alignment horizontal="right" vertical="center" wrapText="1" indent="1"/>
    </xf>
    <xf numFmtId="0" fontId="4" fillId="0" borderId="0" xfId="0" applyFont="1" applyAlignment="1">
      <alignment vertical="center"/>
    </xf>
    <xf numFmtId="0" fontId="3" fillId="0" borderId="0" xfId="0" applyFont="1" applyAlignment="1">
      <alignment horizontal="right" vertical="center" indent="1"/>
    </xf>
    <xf numFmtId="0" fontId="16" fillId="0" borderId="8" xfId="0" applyFont="1" applyBorder="1" applyAlignment="1">
      <alignment vertical="center"/>
    </xf>
    <xf numFmtId="0" fontId="3" fillId="0" borderId="0" xfId="0" applyFont="1" applyAlignment="1">
      <alignment horizontal="center" vertical="center" wrapText="1"/>
    </xf>
    <xf numFmtId="9" fontId="6" fillId="3" borderId="0" xfId="0" applyNumberFormat="1" applyFont="1" applyFill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165" fontId="4" fillId="0" borderId="0" xfId="1" applyNumberFormat="1" applyFont="1" applyFill="1" applyBorder="1" applyAlignment="1">
      <alignment vertical="center"/>
    </xf>
    <xf numFmtId="0" fontId="11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17" fillId="0" borderId="8" xfId="0" applyFont="1" applyBorder="1" applyAlignment="1">
      <alignment horizontal="center" vertical="center"/>
    </xf>
    <xf numFmtId="0" fontId="7" fillId="0" borderId="0" xfId="0" applyFont="1" applyAlignment="1">
      <alignment horizontal="centerContinuous" vertical="center" wrapText="1"/>
    </xf>
    <xf numFmtId="0" fontId="7" fillId="0" borderId="0" xfId="0" applyFont="1" applyAlignment="1">
      <alignment horizontal="centerContinuous" vertical="center"/>
    </xf>
    <xf numFmtId="0" fontId="6" fillId="11" borderId="0" xfId="0" applyFont="1" applyFill="1" applyAlignment="1">
      <alignment vertical="center"/>
    </xf>
    <xf numFmtId="2" fontId="18" fillId="4" borderId="9" xfId="0" applyNumberFormat="1" applyFont="1" applyFill="1" applyBorder="1" applyAlignment="1">
      <alignment vertical="center"/>
    </xf>
    <xf numFmtId="0" fontId="3" fillId="0" borderId="0" xfId="0" applyFont="1" applyAlignment="1">
      <alignment vertical="center" wrapText="1"/>
    </xf>
    <xf numFmtId="9" fontId="4" fillId="0" borderId="0" xfId="0" applyNumberFormat="1" applyFont="1" applyAlignment="1">
      <alignment horizontal="center" vertical="center"/>
    </xf>
    <xf numFmtId="164" fontId="4" fillId="0" borderId="0" xfId="1" applyFont="1" applyAlignment="1">
      <alignment vertical="center"/>
    </xf>
    <xf numFmtId="0" fontId="4" fillId="0" borderId="0" xfId="0" applyFont="1" applyAlignment="1">
      <alignment vertical="center" wrapText="1"/>
    </xf>
    <xf numFmtId="164" fontId="0" fillId="0" borderId="0" xfId="1" applyFont="1" applyAlignment="1">
      <alignment vertical="center"/>
    </xf>
    <xf numFmtId="0" fontId="10" fillId="0" borderId="29" xfId="0" applyFont="1" applyBorder="1" applyAlignment="1">
      <alignment horizontal="left" vertical="center" indent="1"/>
    </xf>
    <xf numFmtId="0" fontId="10" fillId="0" borderId="0" xfId="0" applyFont="1" applyAlignment="1">
      <alignment horizontal="left" vertical="center" indent="1"/>
    </xf>
    <xf numFmtId="0" fontId="10" fillId="0" borderId="35" xfId="0" applyFont="1" applyBorder="1" applyAlignment="1">
      <alignment horizontal="left" vertical="center" indent="1"/>
    </xf>
    <xf numFmtId="166" fontId="0" fillId="3" borderId="0" xfId="0" applyNumberFormat="1" applyFill="1" applyAlignment="1">
      <alignment horizontal="center" vertical="center"/>
    </xf>
    <xf numFmtId="166" fontId="0" fillId="3" borderId="27" xfId="0" applyNumberFormat="1" applyFill="1" applyBorder="1" applyAlignment="1">
      <alignment horizontal="center" vertical="center"/>
    </xf>
    <xf numFmtId="166" fontId="0" fillId="3" borderId="3" xfId="0" applyNumberFormat="1" applyFill="1" applyBorder="1" applyAlignment="1">
      <alignment horizontal="center" vertical="center"/>
    </xf>
    <xf numFmtId="166" fontId="0" fillId="3" borderId="14" xfId="0" applyNumberFormat="1" applyFill="1" applyBorder="1" applyAlignment="1">
      <alignment horizontal="center" vertical="center"/>
    </xf>
    <xf numFmtId="167" fontId="0" fillId="3" borderId="0" xfId="2" applyNumberFormat="1" applyFont="1" applyFill="1" applyAlignment="1">
      <alignment horizontal="center" vertical="center"/>
    </xf>
    <xf numFmtId="167" fontId="0" fillId="3" borderId="27" xfId="2" applyNumberFormat="1" applyFont="1" applyFill="1" applyBorder="1" applyAlignment="1">
      <alignment horizontal="center" vertical="center"/>
    </xf>
    <xf numFmtId="170" fontId="6" fillId="10" borderId="0" xfId="0" applyNumberFormat="1" applyFont="1" applyFill="1" applyAlignment="1">
      <alignment horizontal="right" vertical="center" indent="1"/>
    </xf>
    <xf numFmtId="2" fontId="16" fillId="0" borderId="40" xfId="0" applyNumberFormat="1" applyFont="1" applyBorder="1" applyAlignment="1">
      <alignment horizontal="center" vertical="center"/>
    </xf>
    <xf numFmtId="171" fontId="6" fillId="10" borderId="0" xfId="0" applyNumberFormat="1" applyFont="1" applyFill="1" applyAlignment="1">
      <alignment horizontal="center" vertical="center"/>
    </xf>
    <xf numFmtId="0" fontId="2" fillId="7" borderId="13" xfId="0" applyFont="1" applyFill="1" applyBorder="1" applyAlignment="1">
      <alignment horizontal="center" vertical="center"/>
    </xf>
    <xf numFmtId="0" fontId="2" fillId="7" borderId="16" xfId="0" applyFont="1" applyFill="1" applyBorder="1" applyAlignment="1">
      <alignment horizontal="center" vertical="center"/>
    </xf>
    <xf numFmtId="0" fontId="2" fillId="7" borderId="17" xfId="0" applyFont="1" applyFill="1" applyBorder="1" applyAlignment="1">
      <alignment horizontal="center" vertical="center"/>
    </xf>
    <xf numFmtId="0" fontId="2" fillId="8" borderId="3" xfId="0" applyFont="1" applyFill="1" applyBorder="1" applyAlignment="1">
      <alignment horizontal="center" vertical="center"/>
    </xf>
    <xf numFmtId="0" fontId="2" fillId="7" borderId="19" xfId="0" applyFont="1" applyFill="1" applyBorder="1" applyAlignment="1">
      <alignment horizontal="center" vertical="center"/>
    </xf>
    <xf numFmtId="0" fontId="2" fillId="7" borderId="4" xfId="0" applyFont="1" applyFill="1" applyBorder="1" applyAlignment="1">
      <alignment horizontal="center" vertical="center"/>
    </xf>
    <xf numFmtId="0" fontId="2" fillId="7" borderId="20" xfId="0" applyFont="1" applyFill="1" applyBorder="1" applyAlignment="1">
      <alignment horizontal="center" vertical="center"/>
    </xf>
    <xf numFmtId="0" fontId="25" fillId="7" borderId="28" xfId="0" applyFont="1" applyFill="1" applyBorder="1" applyAlignment="1">
      <alignment horizontal="center" vertical="center" textRotation="90"/>
    </xf>
    <xf numFmtId="0" fontId="25" fillId="7" borderId="32" xfId="0" applyFont="1" applyFill="1" applyBorder="1" applyAlignment="1">
      <alignment horizontal="center" vertical="center" textRotation="90"/>
    </xf>
    <xf numFmtId="0" fontId="25" fillId="7" borderId="34" xfId="0" applyFont="1" applyFill="1" applyBorder="1" applyAlignment="1">
      <alignment horizontal="center" vertical="center" textRotation="90"/>
    </xf>
    <xf numFmtId="0" fontId="25" fillId="7" borderId="0" xfId="0" applyFont="1" applyFill="1" applyAlignment="1">
      <alignment horizontal="center" vertical="center" textRotation="90"/>
    </xf>
    <xf numFmtId="169" fontId="4" fillId="6" borderId="5" xfId="0" applyNumberFormat="1" applyFont="1" applyFill="1" applyBorder="1" applyAlignment="1">
      <alignment horizontal="center"/>
    </xf>
    <xf numFmtId="169" fontId="4" fillId="6" borderId="6" xfId="0" applyNumberFormat="1" applyFont="1" applyFill="1" applyBorder="1" applyAlignment="1">
      <alignment horizontal="center"/>
    </xf>
    <xf numFmtId="169" fontId="4" fillId="6" borderId="7" xfId="0" applyNumberFormat="1" applyFont="1" applyFill="1" applyBorder="1" applyAlignment="1">
      <alignment horizontal="center"/>
    </xf>
    <xf numFmtId="169" fontId="4" fillId="3" borderId="5" xfId="0" applyNumberFormat="1" applyFont="1" applyFill="1" applyBorder="1" applyAlignment="1">
      <alignment horizontal="center"/>
    </xf>
    <xf numFmtId="169" fontId="4" fillId="3" borderId="6" xfId="0" applyNumberFormat="1" applyFont="1" applyFill="1" applyBorder="1" applyAlignment="1">
      <alignment horizontal="center"/>
    </xf>
    <xf numFmtId="169" fontId="4" fillId="3" borderId="7" xfId="0" applyNumberFormat="1" applyFont="1" applyFill="1" applyBorder="1" applyAlignment="1">
      <alignment horizontal="center"/>
    </xf>
    <xf numFmtId="166" fontId="2" fillId="9" borderId="0" xfId="0" applyNumberFormat="1" applyFont="1" applyFill="1" applyAlignment="1">
      <alignment horizontal="center" vertical="center"/>
    </xf>
    <xf numFmtId="0" fontId="25" fillId="7" borderId="28" xfId="0" applyFont="1" applyFill="1" applyBorder="1" applyAlignment="1">
      <alignment horizontal="center" vertical="center" textRotation="90" wrapText="1"/>
    </xf>
    <xf numFmtId="0" fontId="25" fillId="7" borderId="32" xfId="0" applyFont="1" applyFill="1" applyBorder="1" applyAlignment="1">
      <alignment horizontal="center" vertical="center" textRotation="90" wrapText="1"/>
    </xf>
    <xf numFmtId="0" fontId="25" fillId="7" borderId="34" xfId="0" applyFont="1" applyFill="1" applyBorder="1" applyAlignment="1">
      <alignment horizontal="center" vertical="center" textRotation="90" wrapText="1"/>
    </xf>
    <xf numFmtId="0" fontId="19" fillId="7" borderId="0" xfId="0" applyFont="1" applyFill="1" applyAlignment="1">
      <alignment horizontal="center" vertical="center" textRotation="90"/>
    </xf>
    <xf numFmtId="169" fontId="4" fillId="6" borderId="5" xfId="0" applyNumberFormat="1" applyFont="1" applyFill="1" applyBorder="1" applyAlignment="1">
      <alignment horizontal="center" vertical="center"/>
    </xf>
    <xf numFmtId="169" fontId="4" fillId="6" borderId="6" xfId="0" applyNumberFormat="1" applyFont="1" applyFill="1" applyBorder="1" applyAlignment="1">
      <alignment horizontal="center" vertical="center"/>
    </xf>
    <xf numFmtId="169" fontId="4" fillId="6" borderId="7" xfId="0" applyNumberFormat="1" applyFont="1" applyFill="1" applyBorder="1" applyAlignment="1">
      <alignment horizontal="center" vertical="center"/>
    </xf>
    <xf numFmtId="169" fontId="4" fillId="5" borderId="5" xfId="0" applyNumberFormat="1" applyFont="1" applyFill="1" applyBorder="1" applyAlignment="1">
      <alignment horizontal="center" vertical="center"/>
    </xf>
    <xf numFmtId="169" fontId="4" fillId="5" borderId="6" xfId="0" applyNumberFormat="1" applyFont="1" applyFill="1" applyBorder="1" applyAlignment="1">
      <alignment horizontal="center" vertical="center"/>
    </xf>
    <xf numFmtId="169" fontId="4" fillId="5" borderId="7" xfId="0" applyNumberFormat="1" applyFont="1" applyFill="1" applyBorder="1" applyAlignment="1">
      <alignment horizontal="center" vertical="center"/>
    </xf>
    <xf numFmtId="0" fontId="20" fillId="7" borderId="28" xfId="0" applyFont="1" applyFill="1" applyBorder="1" applyAlignment="1">
      <alignment horizontal="center" vertical="center" textRotation="90" wrapText="1"/>
    </xf>
    <xf numFmtId="0" fontId="20" fillId="7" borderId="32" xfId="0" applyFont="1" applyFill="1" applyBorder="1" applyAlignment="1">
      <alignment horizontal="center" vertical="center" textRotation="90" wrapText="1"/>
    </xf>
    <xf numFmtId="0" fontId="20" fillId="7" borderId="34" xfId="0" applyFont="1" applyFill="1" applyBorder="1" applyAlignment="1">
      <alignment horizontal="center" vertical="center" textRotation="90" wrapText="1"/>
    </xf>
  </cellXfs>
  <cellStyles count="3">
    <cellStyle name="Comma" xfId="1" builtinId="3"/>
    <cellStyle name="Normal" xfId="0" builtinId="0"/>
    <cellStyle name="Percent" xfId="2" builtinId="5"/>
  </cellStyles>
  <dxfs count="1">
    <dxf>
      <font>
        <color theme="0" tint="-0.34998626667073579"/>
      </font>
      <fill>
        <patternFill>
          <bgColor theme="0"/>
        </patternFill>
      </fill>
    </dxf>
  </dxfs>
  <tableStyles count="0" defaultTableStyle="TableStyleMedium2" defaultPivotStyle="PivotStyleLight16"/>
  <colors>
    <mruColors>
      <color rgb="FFD52B1E"/>
      <color rgb="FF1F8FB0"/>
      <color rgb="FF00FFFF"/>
      <color rgb="FF003262"/>
      <color rgb="FFFDB515"/>
      <color rgb="FFFFFF96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4.xml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C367B6-C4D0-4727-9704-58D6444F2E4F}">
  <sheetPr>
    <tabColor theme="1" tint="0.499984740745262"/>
  </sheetPr>
  <dimension ref="B2:R30"/>
  <sheetViews>
    <sheetView showGridLines="0" zoomScale="85" zoomScaleNormal="85" workbookViewId="0">
      <selection activeCell="E25" sqref="E25"/>
    </sheetView>
  </sheetViews>
  <sheetFormatPr defaultColWidth="10" defaultRowHeight="14.45"/>
  <cols>
    <col min="1" max="1" width="3" style="1" customWidth="1"/>
    <col min="2" max="7" width="11.42578125" style="27" customWidth="1"/>
    <col min="8" max="10" width="11.42578125" style="1" customWidth="1"/>
    <col min="11" max="12" width="2.85546875" style="1" customWidth="1"/>
    <col min="13" max="15" width="14.28515625" style="1" customWidth="1"/>
    <col min="16" max="16" width="38.7109375" style="1" bestFit="1" customWidth="1"/>
    <col min="17" max="16384" width="10" style="1"/>
  </cols>
  <sheetData>
    <row r="2" spans="2:18">
      <c r="B2" s="188" t="s">
        <v>0</v>
      </c>
      <c r="C2" s="189"/>
      <c r="D2" s="189"/>
      <c r="E2" s="189"/>
      <c r="F2" s="190"/>
      <c r="G2" s="187" t="s">
        <v>1</v>
      </c>
      <c r="H2" s="187"/>
      <c r="I2" s="187"/>
      <c r="M2" s="65" t="s">
        <v>2</v>
      </c>
      <c r="N2" s="68" t="s">
        <v>3</v>
      </c>
    </row>
    <row r="3" spans="2:18" s="27" customFormat="1">
      <c r="B3" s="60" t="s">
        <v>4</v>
      </c>
      <c r="C3" s="60" t="s">
        <v>5</v>
      </c>
      <c r="D3" s="55" t="s">
        <v>6</v>
      </c>
      <c r="E3" s="55" t="s">
        <v>7</v>
      </c>
      <c r="F3" s="55" t="s">
        <v>8</v>
      </c>
      <c r="G3" s="64" t="s">
        <v>9</v>
      </c>
      <c r="H3" s="64" t="s">
        <v>10</v>
      </c>
      <c r="I3" s="64" t="s">
        <v>11</v>
      </c>
      <c r="M3" s="37" t="s">
        <v>12</v>
      </c>
      <c r="N3" s="69">
        <v>8000</v>
      </c>
      <c r="O3" s="1"/>
      <c r="P3" s="1"/>
    </row>
    <row r="4" spans="2:18">
      <c r="B4" s="74"/>
      <c r="C4" s="75"/>
      <c r="D4" s="75"/>
      <c r="E4" s="75"/>
      <c r="F4" s="175">
        <f t="shared" ref="F4:F10" si="0">IFERROR(E4/D4,0)</f>
        <v>0</v>
      </c>
      <c r="G4" s="78">
        <v>0</v>
      </c>
      <c r="H4" s="179">
        <f t="shared" ref="H4:H10" si="1">1-G4</f>
        <v>1</v>
      </c>
      <c r="I4" s="75">
        <f>E4*H4</f>
        <v>0</v>
      </c>
      <c r="M4" s="37" t="s">
        <v>13</v>
      </c>
      <c r="N4" s="69">
        <v>6500</v>
      </c>
    </row>
    <row r="5" spans="2:18">
      <c r="B5" s="74"/>
      <c r="C5" s="75"/>
      <c r="D5" s="75"/>
      <c r="E5" s="75"/>
      <c r="F5" s="175">
        <f t="shared" si="0"/>
        <v>0</v>
      </c>
      <c r="G5" s="78">
        <v>0</v>
      </c>
      <c r="H5" s="179">
        <f t="shared" si="1"/>
        <v>1</v>
      </c>
      <c r="I5" s="75">
        <f t="shared" ref="I5:I10" si="2">C5*H5</f>
        <v>0</v>
      </c>
      <c r="M5" s="37"/>
      <c r="N5" s="73"/>
    </row>
    <row r="6" spans="2:18">
      <c r="B6" s="74"/>
      <c r="C6" s="75"/>
      <c r="D6" s="75"/>
      <c r="E6" s="75"/>
      <c r="F6" s="175">
        <f t="shared" si="0"/>
        <v>0</v>
      </c>
      <c r="G6" s="78">
        <v>0</v>
      </c>
      <c r="H6" s="179">
        <f t="shared" si="1"/>
        <v>1</v>
      </c>
      <c r="I6" s="75">
        <f t="shared" si="2"/>
        <v>0</v>
      </c>
      <c r="M6" s="37"/>
      <c r="N6" s="73"/>
    </row>
    <row r="7" spans="2:18">
      <c r="B7" s="74"/>
      <c r="C7" s="75"/>
      <c r="D7" s="75"/>
      <c r="E7" s="75"/>
      <c r="F7" s="175">
        <f t="shared" si="0"/>
        <v>0</v>
      </c>
      <c r="G7" s="78">
        <v>0</v>
      </c>
      <c r="H7" s="179">
        <f t="shared" si="1"/>
        <v>1</v>
      </c>
      <c r="I7" s="75">
        <f t="shared" si="2"/>
        <v>0</v>
      </c>
      <c r="M7" s="37"/>
      <c r="N7" s="73"/>
    </row>
    <row r="8" spans="2:18">
      <c r="B8" s="74"/>
      <c r="C8" s="75"/>
      <c r="D8" s="75"/>
      <c r="E8" s="75"/>
      <c r="F8" s="175">
        <f t="shared" si="0"/>
        <v>0</v>
      </c>
      <c r="G8" s="78">
        <v>0</v>
      </c>
      <c r="H8" s="179">
        <f t="shared" si="1"/>
        <v>1</v>
      </c>
      <c r="I8" s="75">
        <f t="shared" si="2"/>
        <v>0</v>
      </c>
      <c r="M8" s="37"/>
      <c r="N8" s="73"/>
    </row>
    <row r="9" spans="2:18">
      <c r="B9" s="74"/>
      <c r="C9" s="75"/>
      <c r="D9" s="75"/>
      <c r="E9" s="75"/>
      <c r="F9" s="175">
        <f t="shared" si="0"/>
        <v>0</v>
      </c>
      <c r="G9" s="78">
        <v>0</v>
      </c>
      <c r="H9" s="179">
        <f t="shared" si="1"/>
        <v>1</v>
      </c>
      <c r="I9" s="75">
        <f t="shared" si="2"/>
        <v>0</v>
      </c>
    </row>
    <row r="10" spans="2:18" ht="29.1">
      <c r="B10" s="76"/>
      <c r="C10" s="77"/>
      <c r="D10" s="77"/>
      <c r="E10" s="77"/>
      <c r="F10" s="176">
        <f t="shared" si="0"/>
        <v>0</v>
      </c>
      <c r="G10" s="78">
        <v>0</v>
      </c>
      <c r="H10" s="180">
        <f t="shared" si="1"/>
        <v>1</v>
      </c>
      <c r="I10" s="75">
        <f t="shared" si="2"/>
        <v>0</v>
      </c>
      <c r="J10" s="97" t="s">
        <v>14</v>
      </c>
    </row>
    <row r="11" spans="2:18">
      <c r="B11" s="56" t="s">
        <v>15</v>
      </c>
      <c r="C11" s="56">
        <f>SUM(C4:C10)</f>
        <v>0</v>
      </c>
      <c r="D11" s="56">
        <f>SUM(D4:D10)</f>
        <v>0</v>
      </c>
      <c r="E11" s="56">
        <f>SUM(E4:E10)</f>
        <v>0</v>
      </c>
      <c r="F11" s="26">
        <f>SUM(F4:F10)</f>
        <v>0</v>
      </c>
      <c r="G11" s="1"/>
      <c r="H11" s="79"/>
      <c r="I11" s="56">
        <f>SUM(I4:I10)</f>
        <v>0</v>
      </c>
      <c r="J11" s="49">
        <f>IFERROR(I11/E11,0)</f>
        <v>0</v>
      </c>
    </row>
    <row r="12" spans="2:18" ht="15" thickBot="1">
      <c r="B12" s="61"/>
      <c r="C12" s="61"/>
      <c r="D12" s="61"/>
      <c r="E12" s="61"/>
      <c r="F12" s="61"/>
      <c r="G12" s="61"/>
      <c r="H12" s="61"/>
      <c r="I12" s="62"/>
      <c r="J12" s="62"/>
      <c r="K12" s="62"/>
      <c r="L12" s="62"/>
      <c r="M12" s="62"/>
      <c r="N12" s="62"/>
      <c r="O12" s="62"/>
      <c r="P12" s="62"/>
    </row>
    <row r="13" spans="2:18">
      <c r="B13"/>
      <c r="C13"/>
      <c r="D13"/>
      <c r="E13"/>
      <c r="F13"/>
      <c r="G13"/>
      <c r="H13"/>
    </row>
    <row r="14" spans="2:18">
      <c r="B14" s="184" t="s">
        <v>16</v>
      </c>
      <c r="C14" s="185"/>
      <c r="D14" s="185"/>
      <c r="E14" s="185"/>
      <c r="F14" s="185"/>
      <c r="G14" s="186"/>
      <c r="M14" s="65" t="s">
        <v>17</v>
      </c>
      <c r="N14" s="66" t="s">
        <v>3</v>
      </c>
      <c r="O14" s="66" t="s">
        <v>18</v>
      </c>
      <c r="P14" s="65" t="s">
        <v>19</v>
      </c>
    </row>
    <row r="15" spans="2:18" s="27" customFormat="1">
      <c r="B15" s="60" t="s">
        <v>4</v>
      </c>
      <c r="C15" s="55" t="s">
        <v>20</v>
      </c>
      <c r="D15" s="55" t="s">
        <v>21</v>
      </c>
      <c r="E15" s="55" t="s">
        <v>6</v>
      </c>
      <c r="F15" s="55" t="s">
        <v>7</v>
      </c>
      <c r="G15" s="55" t="s">
        <v>8</v>
      </c>
      <c r="H15" s="1"/>
      <c r="I15" s="1"/>
      <c r="J15" s="42"/>
      <c r="L15" s="42"/>
      <c r="M15" s="37" t="s">
        <v>22</v>
      </c>
      <c r="N15" s="67">
        <v>7500</v>
      </c>
      <c r="O15" s="67">
        <v>120000</v>
      </c>
      <c r="P15" s="37" t="s">
        <v>23</v>
      </c>
      <c r="R15" s="1"/>
    </row>
    <row r="16" spans="2:18">
      <c r="B16" s="44"/>
      <c r="C16" s="46"/>
      <c r="D16" s="46"/>
      <c r="E16" s="47"/>
      <c r="F16" s="46"/>
      <c r="G16" s="177">
        <f t="shared" ref="G16:G25" si="3">IFERROR(F16/E16,0)</f>
        <v>0</v>
      </c>
      <c r="L16" s="42"/>
      <c r="M16" s="37" t="s">
        <v>24</v>
      </c>
      <c r="N16" s="67">
        <v>6000</v>
      </c>
      <c r="O16" s="67">
        <v>100000</v>
      </c>
      <c r="P16" s="37" t="s">
        <v>25</v>
      </c>
    </row>
    <row r="17" spans="2:16">
      <c r="B17" s="45"/>
      <c r="C17" s="47"/>
      <c r="D17" s="47"/>
      <c r="E17" s="47"/>
      <c r="F17" s="47"/>
      <c r="G17" s="177">
        <f t="shared" si="3"/>
        <v>0</v>
      </c>
      <c r="L17" s="42"/>
      <c r="M17" s="37" t="s">
        <v>26</v>
      </c>
      <c r="N17" s="67">
        <v>4000</v>
      </c>
      <c r="O17" s="67">
        <v>85000</v>
      </c>
      <c r="P17" s="37" t="s">
        <v>27</v>
      </c>
    </row>
    <row r="18" spans="2:16">
      <c r="B18" s="45"/>
      <c r="C18" s="47"/>
      <c r="D18" s="47"/>
      <c r="E18" s="47"/>
      <c r="F18" s="47"/>
      <c r="G18" s="177">
        <f t="shared" si="3"/>
        <v>0</v>
      </c>
      <c r="L18" s="42"/>
      <c r="M18" s="37" t="s">
        <v>28</v>
      </c>
      <c r="N18" s="67">
        <v>3000</v>
      </c>
      <c r="O18" s="67">
        <v>75000</v>
      </c>
      <c r="P18" s="37" t="s">
        <v>29</v>
      </c>
    </row>
    <row r="19" spans="2:16">
      <c r="B19" s="45"/>
      <c r="C19" s="47"/>
      <c r="D19" s="47"/>
      <c r="E19" s="47"/>
      <c r="F19" s="47"/>
      <c r="G19" s="177">
        <f t="shared" si="3"/>
        <v>0</v>
      </c>
      <c r="L19" s="42"/>
      <c r="M19" s="37" t="s">
        <v>30</v>
      </c>
      <c r="N19" s="67">
        <v>2000</v>
      </c>
      <c r="O19" s="67">
        <v>60000</v>
      </c>
      <c r="P19" s="37" t="s">
        <v>31</v>
      </c>
    </row>
    <row r="20" spans="2:16">
      <c r="B20" s="45"/>
      <c r="C20" s="47"/>
      <c r="D20" s="47"/>
      <c r="E20" s="47"/>
      <c r="F20" s="47"/>
      <c r="G20" s="177">
        <f t="shared" si="3"/>
        <v>0</v>
      </c>
      <c r="L20" s="42"/>
    </row>
    <row r="21" spans="2:16">
      <c r="B21" s="45"/>
      <c r="C21" s="47"/>
      <c r="D21" s="47"/>
      <c r="E21" s="47"/>
      <c r="F21" s="47"/>
      <c r="G21" s="177">
        <f t="shared" si="3"/>
        <v>0</v>
      </c>
      <c r="L21" s="42"/>
    </row>
    <row r="22" spans="2:16">
      <c r="B22" s="45"/>
      <c r="C22" s="47"/>
      <c r="D22" s="47"/>
      <c r="E22" s="47"/>
      <c r="F22" s="47"/>
      <c r="G22" s="177">
        <f t="shared" si="3"/>
        <v>0</v>
      </c>
      <c r="L22" s="42"/>
    </row>
    <row r="23" spans="2:16">
      <c r="B23" s="45"/>
      <c r="C23" s="47"/>
      <c r="D23" s="47"/>
      <c r="E23" s="47"/>
      <c r="F23" s="47"/>
      <c r="G23" s="177">
        <f t="shared" si="3"/>
        <v>0</v>
      </c>
      <c r="L23" s="42"/>
    </row>
    <row r="24" spans="2:16">
      <c r="B24" s="58"/>
      <c r="C24" s="59"/>
      <c r="D24" s="59"/>
      <c r="E24" s="59"/>
      <c r="F24" s="59"/>
      <c r="G24" s="178">
        <f t="shared" si="3"/>
        <v>0</v>
      </c>
    </row>
    <row r="25" spans="2:16">
      <c r="B25" s="56" t="s">
        <v>15</v>
      </c>
      <c r="C25" s="57">
        <f>SUM(C16:C24)</f>
        <v>0</v>
      </c>
      <c r="D25" s="57">
        <f>SUM(D16:D24)</f>
        <v>0</v>
      </c>
      <c r="E25" s="56">
        <f>SUM(E16:E24)</f>
        <v>0</v>
      </c>
      <c r="F25" s="56">
        <f>SUM(F16:F24)</f>
        <v>0</v>
      </c>
      <c r="G25" s="56">
        <f t="shared" si="3"/>
        <v>0</v>
      </c>
      <c r="I25" s="48">
        <f>IFERROR(F25/D25,0)</f>
        <v>0</v>
      </c>
    </row>
    <row r="26" spans="2:16">
      <c r="B26" s="43"/>
      <c r="C26" s="43"/>
      <c r="D26" s="43"/>
      <c r="F26" s="1"/>
    </row>
    <row r="27" spans="2:16">
      <c r="B27" s="43"/>
      <c r="C27" s="43"/>
      <c r="D27" s="43"/>
      <c r="F27" s="1"/>
    </row>
    <row r="28" spans="2:16">
      <c r="B28" s="43"/>
      <c r="C28" s="43"/>
      <c r="D28" s="43"/>
      <c r="F28" s="1"/>
    </row>
    <row r="29" spans="2:16">
      <c r="B29" s="43"/>
      <c r="C29" s="43"/>
      <c r="D29" s="43"/>
      <c r="F29" s="1"/>
    </row>
    <row r="30" spans="2:16">
      <c r="B30" s="43"/>
      <c r="C30" s="43"/>
      <c r="D30" s="43"/>
    </row>
  </sheetData>
  <mergeCells count="3">
    <mergeCell ref="B14:G14"/>
    <mergeCell ref="G2:I2"/>
    <mergeCell ref="B2:F2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3CD3F0-4AC5-4327-9714-035194542DCF}">
  <sheetPr>
    <tabColor theme="1" tint="0.249977111117893"/>
  </sheetPr>
  <dimension ref="B2:Q68"/>
  <sheetViews>
    <sheetView showGridLines="0" zoomScaleNormal="100" workbookViewId="0">
      <pane ySplit="1" topLeftCell="A45" activePane="bottomLeft" state="frozen"/>
      <selection pane="bottomLeft" activeCell="B25" sqref="B25:B33"/>
      <selection activeCell="F54" sqref="F54"/>
    </sheetView>
  </sheetViews>
  <sheetFormatPr defaultColWidth="8.85546875" defaultRowHeight="14.45" outlineLevelRow="1" outlineLevelCol="1"/>
  <cols>
    <col min="1" max="1" width="3" customWidth="1"/>
    <col min="2" max="2" width="6.42578125" customWidth="1"/>
    <col min="3" max="3" width="1.42578125" customWidth="1"/>
    <col min="4" max="4" width="57.140625" customWidth="1"/>
    <col min="5" max="5" width="25.7109375" style="18" hidden="1" customWidth="1" outlineLevel="1"/>
    <col min="6" max="6" width="3" customWidth="1" collapsed="1"/>
    <col min="7" max="7" width="10" style="83" customWidth="1"/>
    <col min="8" max="8" width="10" customWidth="1"/>
    <col min="9" max="10" width="10" style="83" customWidth="1"/>
    <col min="11" max="11" width="3" customWidth="1"/>
    <col min="12" max="12" width="10" style="33" customWidth="1"/>
    <col min="13" max="13" width="3" customWidth="1"/>
    <col min="14" max="14" width="25.7109375" customWidth="1"/>
    <col min="15" max="15" width="10" customWidth="1"/>
    <col min="16" max="16" width="3" customWidth="1"/>
    <col min="17" max="17" width="9.140625"/>
  </cols>
  <sheetData>
    <row r="2" spans="2:17">
      <c r="F2" s="32" t="s">
        <v>15</v>
      </c>
      <c r="G2" s="195">
        <f>' SIZE '!E11</f>
        <v>0</v>
      </c>
      <c r="H2" s="196"/>
      <c r="I2" s="196"/>
      <c r="J2" s="197"/>
      <c r="L2" s="34"/>
      <c r="N2" s="2" t="s">
        <v>14</v>
      </c>
    </row>
    <row r="3" spans="2:17">
      <c r="F3" s="32" t="s">
        <v>32</v>
      </c>
      <c r="G3" s="198">
        <f>' SIZE '!I11</f>
        <v>0</v>
      </c>
      <c r="H3" s="199"/>
      <c r="I3" s="199"/>
      <c r="J3" s="200"/>
      <c r="L3" s="34"/>
      <c r="N3" s="98">
        <f>' SIZE '!J11</f>
        <v>0</v>
      </c>
    </row>
    <row r="4" spans="2:17">
      <c r="L4" s="34"/>
    </row>
    <row r="5" spans="2:17" s="2" customFormat="1" ht="15.95">
      <c r="D5" s="3"/>
      <c r="E5" s="28" t="s">
        <v>33</v>
      </c>
      <c r="G5" s="84" t="s">
        <v>34</v>
      </c>
      <c r="H5" s="21" t="s">
        <v>35</v>
      </c>
      <c r="I5" s="84" t="s">
        <v>36</v>
      </c>
      <c r="J5" s="84" t="s">
        <v>37</v>
      </c>
      <c r="L5" s="35" t="s">
        <v>38</v>
      </c>
      <c r="N5" s="20" t="s">
        <v>39</v>
      </c>
      <c r="O5" s="20"/>
      <c r="P5"/>
    </row>
    <row r="6" spans="2:17" s="1" customFormat="1" ht="15" customHeight="1" outlineLevel="1">
      <c r="B6" s="191" t="s">
        <v>40</v>
      </c>
      <c r="C6" s="100"/>
      <c r="D6" s="101" t="s">
        <v>41</v>
      </c>
      <c r="E6" s="102" t="s">
        <v>42</v>
      </c>
      <c r="F6" s="103"/>
      <c r="G6" s="104"/>
      <c r="H6" s="105">
        <v>0</v>
      </c>
      <c r="I6" s="104">
        <f t="shared" ref="I6:I23" si="0">IFERROR(G6*H6,0)</f>
        <v>0</v>
      </c>
      <c r="J6" s="104">
        <v>0</v>
      </c>
      <c r="K6" s="103"/>
      <c r="L6" s="106">
        <f>IFERROR(I6/$G$2,0)</f>
        <v>0</v>
      </c>
      <c r="M6" s="103"/>
      <c r="N6" s="107" t="s">
        <v>43</v>
      </c>
      <c r="Q6" s="26"/>
    </row>
    <row r="7" spans="2:17" s="1" customFormat="1" ht="15" customHeight="1" outlineLevel="1">
      <c r="B7" s="192"/>
      <c r="D7" s="4" t="s">
        <v>44</v>
      </c>
      <c r="E7" s="29" t="s">
        <v>45</v>
      </c>
      <c r="F7" s="5"/>
      <c r="G7" s="85"/>
      <c r="H7" s="108">
        <v>0</v>
      </c>
      <c r="I7" s="85">
        <f t="shared" si="0"/>
        <v>0</v>
      </c>
      <c r="J7" s="85">
        <v>0</v>
      </c>
      <c r="K7" s="5"/>
      <c r="L7" s="38">
        <f t="shared" ref="L7:L58" si="1">IFERROR(I7/$G$2,0)</f>
        <v>0</v>
      </c>
      <c r="M7" s="5"/>
      <c r="N7" s="109" t="s">
        <v>43</v>
      </c>
      <c r="Q7" s="26"/>
    </row>
    <row r="8" spans="2:17" s="1" customFormat="1" ht="15" customHeight="1" outlineLevel="1">
      <c r="B8" s="192"/>
      <c r="D8" s="4" t="s">
        <v>46</v>
      </c>
      <c r="E8" s="29" t="s">
        <v>47</v>
      </c>
      <c r="F8" s="5"/>
      <c r="G8" s="85"/>
      <c r="H8" s="108">
        <v>0</v>
      </c>
      <c r="I8" s="85">
        <f t="shared" si="0"/>
        <v>0</v>
      </c>
      <c r="J8" s="85">
        <v>0</v>
      </c>
      <c r="K8" s="5"/>
      <c r="L8" s="38">
        <f t="shared" si="1"/>
        <v>0</v>
      </c>
      <c r="M8" s="5"/>
      <c r="N8" s="109" t="s">
        <v>43</v>
      </c>
      <c r="Q8" s="26"/>
    </row>
    <row r="9" spans="2:17" ht="7.5" customHeight="1" outlineLevel="1">
      <c r="B9" s="192"/>
      <c r="D9" s="7"/>
      <c r="E9" s="29"/>
      <c r="F9" s="8"/>
      <c r="G9" s="86"/>
      <c r="H9" s="110"/>
      <c r="I9" s="86"/>
      <c r="J9" s="86"/>
      <c r="K9" s="8"/>
      <c r="L9" s="39"/>
      <c r="M9" s="8"/>
      <c r="N9" s="111"/>
      <c r="Q9" s="26"/>
    </row>
    <row r="10" spans="2:17" s="1" customFormat="1" ht="15" customHeight="1" outlineLevel="1">
      <c r="B10" s="192"/>
      <c r="D10" s="4" t="s">
        <v>48</v>
      </c>
      <c r="E10" s="29" t="s">
        <v>49</v>
      </c>
      <c r="F10" s="5"/>
      <c r="G10" s="85"/>
      <c r="H10" s="108">
        <v>1</v>
      </c>
      <c r="I10" s="85">
        <f t="shared" ref="I10:I11" si="2">IFERROR(G10*H10,0)</f>
        <v>0</v>
      </c>
      <c r="J10" s="85">
        <v>0</v>
      </c>
      <c r="K10" s="5"/>
      <c r="L10" s="38">
        <f t="shared" si="1"/>
        <v>0</v>
      </c>
      <c r="M10" s="5"/>
      <c r="N10" s="109" t="s">
        <v>43</v>
      </c>
      <c r="Q10" s="26"/>
    </row>
    <row r="11" spans="2:17" s="1" customFormat="1" ht="15" customHeight="1" outlineLevel="1">
      <c r="B11" s="192"/>
      <c r="D11" s="4" t="s">
        <v>50</v>
      </c>
      <c r="E11" s="29" t="s">
        <v>51</v>
      </c>
      <c r="F11" s="5"/>
      <c r="G11" s="183"/>
      <c r="H11" s="112">
        <v>1</v>
      </c>
      <c r="I11" s="85">
        <f t="shared" si="2"/>
        <v>0</v>
      </c>
      <c r="J11" s="85">
        <v>0</v>
      </c>
      <c r="K11" s="5"/>
      <c r="L11" s="38">
        <f t="shared" si="1"/>
        <v>0</v>
      </c>
      <c r="M11" s="5"/>
      <c r="N11" s="109" t="s">
        <v>43</v>
      </c>
      <c r="Q11" s="26"/>
    </row>
    <row r="12" spans="2:17" ht="7.5" customHeight="1" outlineLevel="1">
      <c r="B12" s="192"/>
      <c r="D12" s="7"/>
      <c r="E12" s="29"/>
      <c r="F12" s="8"/>
      <c r="G12" s="86"/>
      <c r="H12" s="110"/>
      <c r="I12" s="86"/>
      <c r="J12" s="86"/>
      <c r="K12" s="8"/>
      <c r="L12" s="39"/>
      <c r="M12" s="8"/>
      <c r="N12" s="111"/>
      <c r="Q12" s="26"/>
    </row>
    <row r="13" spans="2:17" s="1" customFormat="1" ht="15" customHeight="1" outlineLevel="1">
      <c r="B13" s="192"/>
      <c r="D13" s="4" t="s">
        <v>52</v>
      </c>
      <c r="E13" s="29" t="s">
        <v>53</v>
      </c>
      <c r="F13" s="5"/>
      <c r="G13" s="183"/>
      <c r="H13" s="108">
        <v>1</v>
      </c>
      <c r="I13" s="85">
        <f>IFERROR(G13*H13,0)</f>
        <v>0</v>
      </c>
      <c r="J13" s="85">
        <v>0</v>
      </c>
      <c r="K13" s="5"/>
      <c r="L13" s="38">
        <f t="shared" si="1"/>
        <v>0</v>
      </c>
      <c r="M13" s="5"/>
      <c r="N13" s="109" t="s">
        <v>43</v>
      </c>
      <c r="Q13" s="26"/>
    </row>
    <row r="14" spans="2:17" ht="7.5" customHeight="1" outlineLevel="1">
      <c r="B14" s="192"/>
      <c r="D14" s="7"/>
      <c r="E14" s="29"/>
      <c r="F14" s="8"/>
      <c r="G14" s="86"/>
      <c r="H14" s="110"/>
      <c r="I14" s="86"/>
      <c r="J14" s="86"/>
      <c r="K14" s="8"/>
      <c r="L14" s="39"/>
      <c r="M14" s="8"/>
      <c r="N14" s="111"/>
      <c r="Q14" s="26"/>
    </row>
    <row r="15" spans="2:17" s="1" customFormat="1" ht="15" customHeight="1" outlineLevel="1">
      <c r="B15" s="192"/>
      <c r="D15" s="4" t="s">
        <v>54</v>
      </c>
      <c r="E15" s="29" t="s">
        <v>55</v>
      </c>
      <c r="F15" s="5"/>
      <c r="G15" s="85"/>
      <c r="H15" s="108">
        <v>1</v>
      </c>
      <c r="I15" s="85">
        <f t="shared" ref="I15:I17" si="3">IFERROR(G15*H15,0)</f>
        <v>0</v>
      </c>
      <c r="J15" s="85">
        <v>0</v>
      </c>
      <c r="K15" s="5"/>
      <c r="L15" s="38">
        <f t="shared" si="1"/>
        <v>0</v>
      </c>
      <c r="M15" s="5"/>
      <c r="N15" s="109" t="s">
        <v>43</v>
      </c>
      <c r="Q15" s="26"/>
    </row>
    <row r="16" spans="2:17" s="1" customFormat="1" ht="15" customHeight="1" outlineLevel="1">
      <c r="B16" s="192"/>
      <c r="D16" s="4" t="s">
        <v>56</v>
      </c>
      <c r="E16" s="29" t="s">
        <v>57</v>
      </c>
      <c r="F16" s="5"/>
      <c r="G16" s="85"/>
      <c r="H16" s="108">
        <v>1</v>
      </c>
      <c r="I16" s="85">
        <f t="shared" si="3"/>
        <v>0</v>
      </c>
      <c r="J16" s="85">
        <v>0</v>
      </c>
      <c r="K16" s="5"/>
      <c r="L16" s="38">
        <f t="shared" si="1"/>
        <v>0</v>
      </c>
      <c r="M16" s="5"/>
      <c r="N16" s="109" t="s">
        <v>43</v>
      </c>
      <c r="Q16" s="26"/>
    </row>
    <row r="17" spans="2:17" s="1" customFormat="1" ht="15" customHeight="1" outlineLevel="1">
      <c r="B17" s="192"/>
      <c r="D17" s="4" t="s">
        <v>58</v>
      </c>
      <c r="E17" s="29" t="s">
        <v>59</v>
      </c>
      <c r="F17" s="5"/>
      <c r="G17" s="85"/>
      <c r="H17" s="108">
        <v>0</v>
      </c>
      <c r="I17" s="85">
        <f t="shared" si="3"/>
        <v>0</v>
      </c>
      <c r="J17" s="85">
        <v>0</v>
      </c>
      <c r="K17" s="5"/>
      <c r="L17" s="38">
        <f t="shared" si="1"/>
        <v>0</v>
      </c>
      <c r="M17" s="5"/>
      <c r="N17" s="109" t="s">
        <v>43</v>
      </c>
      <c r="Q17" s="26"/>
    </row>
    <row r="18" spans="2:17" ht="7.5" customHeight="1" outlineLevel="1">
      <c r="B18" s="192"/>
      <c r="D18" s="7"/>
      <c r="E18" s="29"/>
      <c r="F18" s="8"/>
      <c r="G18" s="86"/>
      <c r="H18" s="8"/>
      <c r="I18" s="86"/>
      <c r="J18" s="86"/>
      <c r="K18" s="8"/>
      <c r="L18" s="39"/>
      <c r="M18" s="8"/>
      <c r="N18" s="111"/>
      <c r="Q18" s="26"/>
    </row>
    <row r="19" spans="2:17" s="1" customFormat="1" ht="15" customHeight="1" outlineLevel="1">
      <c r="B19" s="192"/>
      <c r="D19" s="4" t="s">
        <v>60</v>
      </c>
      <c r="E19" s="29" t="s">
        <v>61</v>
      </c>
      <c r="F19" s="5"/>
      <c r="G19" s="85"/>
      <c r="H19" s="6">
        <v>4</v>
      </c>
      <c r="I19" s="85">
        <f t="shared" ref="I19" si="4">IFERROR(G19*H19,0)</f>
        <v>0</v>
      </c>
      <c r="J19" s="85">
        <v>0</v>
      </c>
      <c r="K19" s="5"/>
      <c r="L19" s="38">
        <f t="shared" si="1"/>
        <v>0</v>
      </c>
      <c r="M19" s="5"/>
      <c r="N19" s="109" t="s">
        <v>43</v>
      </c>
      <c r="Q19" s="26"/>
    </row>
    <row r="20" spans="2:17" ht="7.5" customHeight="1" outlineLevel="1">
      <c r="B20" s="192"/>
      <c r="D20" s="7"/>
      <c r="E20" s="29"/>
      <c r="F20" s="8"/>
      <c r="G20" s="86"/>
      <c r="H20" s="8"/>
      <c r="I20" s="86"/>
      <c r="J20" s="86"/>
      <c r="K20" s="8"/>
      <c r="L20" s="39"/>
      <c r="M20" s="8"/>
      <c r="N20" s="111"/>
      <c r="Q20" s="26"/>
    </row>
    <row r="21" spans="2:17" s="1" customFormat="1" ht="15" customHeight="1" outlineLevel="1">
      <c r="B21" s="192"/>
      <c r="D21" s="4" t="s">
        <v>62</v>
      </c>
      <c r="E21" s="29" t="s">
        <v>63</v>
      </c>
      <c r="F21" s="5"/>
      <c r="G21" s="85"/>
      <c r="H21" s="6">
        <v>15</v>
      </c>
      <c r="I21" s="85">
        <f t="shared" ref="I21" si="5">IFERROR(G21*H21,0)</f>
        <v>0</v>
      </c>
      <c r="J21" s="85">
        <v>0</v>
      </c>
      <c r="K21" s="5"/>
      <c r="L21" s="38">
        <f t="shared" si="1"/>
        <v>0</v>
      </c>
      <c r="M21" s="5"/>
      <c r="N21" s="109" t="s">
        <v>43</v>
      </c>
      <c r="Q21" s="26"/>
    </row>
    <row r="22" spans="2:17" s="1" customFormat="1" ht="15" customHeight="1" outlineLevel="1">
      <c r="B22" s="192"/>
      <c r="D22" s="4" t="s">
        <v>64</v>
      </c>
      <c r="E22" s="29" t="s">
        <v>65</v>
      </c>
      <c r="F22" s="5"/>
      <c r="G22" s="183"/>
      <c r="H22" s="6">
        <v>1</v>
      </c>
      <c r="I22" s="85">
        <f t="shared" si="0"/>
        <v>0</v>
      </c>
      <c r="J22" s="85">
        <v>0</v>
      </c>
      <c r="K22" s="5"/>
      <c r="L22" s="38">
        <f t="shared" si="1"/>
        <v>0</v>
      </c>
      <c r="M22" s="5"/>
      <c r="N22" s="109" t="s">
        <v>43</v>
      </c>
      <c r="Q22" s="26"/>
    </row>
    <row r="23" spans="2:17" s="1" customFormat="1" ht="15" customHeight="1" outlineLevel="1">
      <c r="B23" s="193"/>
      <c r="C23" s="113"/>
      <c r="D23" s="114" t="s">
        <v>66</v>
      </c>
      <c r="E23" s="115" t="s">
        <v>67</v>
      </c>
      <c r="F23" s="116"/>
      <c r="G23" s="117"/>
      <c r="H23" s="118">
        <f>H22</f>
        <v>1</v>
      </c>
      <c r="I23" s="117">
        <f t="shared" si="0"/>
        <v>0</v>
      </c>
      <c r="J23" s="117">
        <v>0</v>
      </c>
      <c r="K23" s="116"/>
      <c r="L23" s="119">
        <f t="shared" si="1"/>
        <v>0</v>
      </c>
      <c r="M23" s="116"/>
      <c r="N23" s="120" t="s">
        <v>68</v>
      </c>
      <c r="Q23" s="26"/>
    </row>
    <row r="24" spans="2:17" outlineLevel="1">
      <c r="D24" s="7"/>
      <c r="E24" s="29"/>
      <c r="F24" s="8"/>
      <c r="G24" s="86"/>
      <c r="H24" s="8"/>
      <c r="I24" s="86"/>
      <c r="J24" s="86"/>
      <c r="K24" s="8"/>
      <c r="L24" s="124"/>
      <c r="M24" s="8"/>
      <c r="N24" s="30"/>
      <c r="O24" s="1"/>
      <c r="Q24" s="26"/>
    </row>
    <row r="25" spans="2:17" s="1" customFormat="1" ht="15" customHeight="1" outlineLevel="1">
      <c r="B25" s="191" t="s">
        <v>69</v>
      </c>
      <c r="C25" s="100"/>
      <c r="D25" s="101" t="s">
        <v>70</v>
      </c>
      <c r="E25" s="102" t="s">
        <v>71</v>
      </c>
      <c r="F25" s="103"/>
      <c r="G25" s="104"/>
      <c r="H25" s="122">
        <f>CEILING(H21*100,500)</f>
        <v>1500</v>
      </c>
      <c r="I25" s="104">
        <f t="shared" ref="I25:I26" si="6">IFERROR(G25*H25,0)</f>
        <v>0</v>
      </c>
      <c r="J25" s="104">
        <v>0</v>
      </c>
      <c r="K25" s="103"/>
      <c r="L25" s="106">
        <f t="shared" si="1"/>
        <v>0</v>
      </c>
      <c r="M25" s="103"/>
      <c r="N25" s="107" t="s">
        <v>43</v>
      </c>
      <c r="Q25" s="26"/>
    </row>
    <row r="26" spans="2:17" s="1" customFormat="1" ht="15" customHeight="1" outlineLevel="1">
      <c r="B26" s="192"/>
      <c r="D26" s="4" t="s">
        <v>72</v>
      </c>
      <c r="E26" s="29" t="s">
        <v>73</v>
      </c>
      <c r="F26" s="5"/>
      <c r="G26" s="85"/>
      <c r="H26" s="6">
        <f>ROUNDUP(H30*3*110%,0)</f>
        <v>47</v>
      </c>
      <c r="I26" s="85">
        <f t="shared" si="6"/>
        <v>0</v>
      </c>
      <c r="J26" s="85">
        <v>0</v>
      </c>
      <c r="K26" s="5"/>
      <c r="L26" s="38">
        <f t="shared" si="1"/>
        <v>0</v>
      </c>
      <c r="M26" s="5"/>
      <c r="N26" s="109" t="s">
        <v>43</v>
      </c>
      <c r="Q26" s="26"/>
    </row>
    <row r="27" spans="2:17" ht="7.5" customHeight="1" outlineLevel="1">
      <c r="B27" s="192"/>
      <c r="D27" s="7"/>
      <c r="E27" s="29"/>
      <c r="F27" s="8"/>
      <c r="G27" s="86"/>
      <c r="H27" s="8"/>
      <c r="I27" s="86"/>
      <c r="J27" s="86"/>
      <c r="K27" s="8"/>
      <c r="L27" s="39"/>
      <c r="M27" s="8"/>
      <c r="N27" s="111"/>
      <c r="O27" s="1"/>
      <c r="Q27" s="26"/>
    </row>
    <row r="28" spans="2:17" s="1" customFormat="1" ht="15" customHeight="1" outlineLevel="1">
      <c r="B28" s="192"/>
      <c r="D28" s="4" t="s">
        <v>74</v>
      </c>
      <c r="E28" s="29" t="s">
        <v>67</v>
      </c>
      <c r="F28" s="5"/>
      <c r="G28" s="85"/>
      <c r="H28" s="6">
        <f>CEILING(H11*650,500)</f>
        <v>1000</v>
      </c>
      <c r="I28" s="85">
        <f t="shared" ref="I28" si="7">IFERROR(G28*H28,0)</f>
        <v>0</v>
      </c>
      <c r="J28" s="85">
        <v>0</v>
      </c>
      <c r="K28" s="5"/>
      <c r="L28" s="38">
        <f t="shared" si="1"/>
        <v>0</v>
      </c>
      <c r="M28" s="5"/>
      <c r="N28" s="109" t="s">
        <v>43</v>
      </c>
      <c r="Q28" s="26"/>
    </row>
    <row r="29" spans="2:17" ht="7.5" customHeight="1" outlineLevel="1">
      <c r="B29" s="192"/>
      <c r="D29" s="7"/>
      <c r="E29" s="29"/>
      <c r="F29" s="8"/>
      <c r="G29" s="86"/>
      <c r="H29" s="6"/>
      <c r="I29" s="86"/>
      <c r="J29" s="86"/>
      <c r="K29" s="8"/>
      <c r="L29" s="39"/>
      <c r="M29" s="8"/>
      <c r="N29" s="111"/>
      <c r="O29" s="1"/>
      <c r="Q29" s="26"/>
    </row>
    <row r="30" spans="2:17" s="1" customFormat="1" ht="15" customHeight="1" outlineLevel="1">
      <c r="B30" s="192"/>
      <c r="D30" s="4" t="s">
        <v>75</v>
      </c>
      <c r="E30" s="29" t="s">
        <v>76</v>
      </c>
      <c r="F30" s="5"/>
      <c r="G30" s="85"/>
      <c r="H30" s="6">
        <f>H21-1</f>
        <v>14</v>
      </c>
      <c r="I30" s="85">
        <f t="shared" ref="I30:I31" si="8">IFERROR(G30*H30,0)</f>
        <v>0</v>
      </c>
      <c r="J30" s="85">
        <v>0</v>
      </c>
      <c r="K30" s="5"/>
      <c r="L30" s="38">
        <f t="shared" si="1"/>
        <v>0</v>
      </c>
      <c r="M30" s="5"/>
      <c r="N30" s="109" t="s">
        <v>43</v>
      </c>
      <c r="Q30" s="26"/>
    </row>
    <row r="31" spans="2:17" s="1" customFormat="1" ht="15" customHeight="1" outlineLevel="1">
      <c r="B31" s="192"/>
      <c r="D31" s="4" t="s">
        <v>77</v>
      </c>
      <c r="E31" s="29" t="s">
        <v>78</v>
      </c>
      <c r="F31" s="5"/>
      <c r="G31" s="85"/>
      <c r="H31" s="6">
        <f>H21*2</f>
        <v>30</v>
      </c>
      <c r="I31" s="85">
        <f t="shared" si="8"/>
        <v>0</v>
      </c>
      <c r="J31" s="85">
        <v>0</v>
      </c>
      <c r="K31" s="5"/>
      <c r="L31" s="38">
        <f t="shared" si="1"/>
        <v>0</v>
      </c>
      <c r="M31" s="5"/>
      <c r="N31" s="109" t="s">
        <v>43</v>
      </c>
      <c r="Q31" s="26"/>
    </row>
    <row r="32" spans="2:17" ht="6" customHeight="1" outlineLevel="1">
      <c r="B32" s="192"/>
      <c r="D32" s="7"/>
      <c r="E32" s="29"/>
      <c r="F32" s="8"/>
      <c r="G32" s="86"/>
      <c r="H32" s="8"/>
      <c r="I32" s="86"/>
      <c r="J32" s="86"/>
      <c r="K32" s="8"/>
      <c r="L32" s="39"/>
      <c r="M32" s="8"/>
      <c r="N32" s="111"/>
      <c r="O32" s="1"/>
      <c r="Q32" s="26"/>
    </row>
    <row r="33" spans="2:17" s="1" customFormat="1" ht="15" customHeight="1" outlineLevel="1">
      <c r="B33" s="193"/>
      <c r="C33" s="113"/>
      <c r="D33" s="114" t="s">
        <v>79</v>
      </c>
      <c r="E33" s="123" t="s">
        <v>67</v>
      </c>
      <c r="F33" s="116"/>
      <c r="G33" s="117"/>
      <c r="H33" s="118">
        <v>1</v>
      </c>
      <c r="I33" s="117">
        <f t="shared" ref="I33" si="9">IFERROR(G33*H33,0)</f>
        <v>0</v>
      </c>
      <c r="J33" s="117">
        <v>0</v>
      </c>
      <c r="K33" s="116"/>
      <c r="L33" s="119">
        <f t="shared" si="1"/>
        <v>0</v>
      </c>
      <c r="M33" s="116"/>
      <c r="N33" s="120" t="s">
        <v>80</v>
      </c>
      <c r="Q33" s="26"/>
    </row>
    <row r="34" spans="2:17" outlineLevel="1">
      <c r="D34" s="7"/>
      <c r="E34" s="29"/>
      <c r="F34" s="8"/>
      <c r="G34" s="86"/>
      <c r="H34" s="8"/>
      <c r="I34" s="86"/>
      <c r="J34" s="86"/>
      <c r="K34" s="8"/>
      <c r="L34" s="124"/>
      <c r="M34" s="8"/>
      <c r="N34" s="25"/>
      <c r="O34" s="1"/>
      <c r="Q34" s="26"/>
    </row>
    <row r="35" spans="2:17" ht="15" customHeight="1" outlineLevel="1">
      <c r="B35" s="191" t="s">
        <v>81</v>
      </c>
      <c r="C35" s="126"/>
      <c r="D35" s="127" t="s">
        <v>82</v>
      </c>
      <c r="E35" s="102"/>
      <c r="F35" s="128"/>
      <c r="G35" s="104"/>
      <c r="H35" s="105">
        <v>1</v>
      </c>
      <c r="I35" s="104">
        <f t="shared" ref="I35:I38" si="10">IFERROR(G35*H35,0)</f>
        <v>0</v>
      </c>
      <c r="J35" s="104">
        <v>0</v>
      </c>
      <c r="K35" s="128"/>
      <c r="L35" s="106">
        <f t="shared" si="1"/>
        <v>0</v>
      </c>
      <c r="M35" s="128"/>
      <c r="N35" s="107" t="s">
        <v>83</v>
      </c>
      <c r="O35" s="1"/>
      <c r="Q35" s="26"/>
    </row>
    <row r="36" spans="2:17" ht="15" customHeight="1" outlineLevel="1">
      <c r="B36" s="192"/>
      <c r="D36" s="7" t="s">
        <v>84</v>
      </c>
      <c r="E36" s="29"/>
      <c r="F36" s="8"/>
      <c r="G36" s="85"/>
      <c r="H36" s="108">
        <v>6</v>
      </c>
      <c r="I36" s="85">
        <f t="shared" si="10"/>
        <v>0</v>
      </c>
      <c r="J36" s="85">
        <v>0</v>
      </c>
      <c r="K36" s="8"/>
      <c r="L36" s="38">
        <f t="shared" si="1"/>
        <v>0</v>
      </c>
      <c r="M36" s="8"/>
      <c r="N36" s="109" t="s">
        <v>85</v>
      </c>
      <c r="O36" s="1"/>
      <c r="Q36" s="26"/>
    </row>
    <row r="37" spans="2:17" ht="15" customHeight="1" outlineLevel="1">
      <c r="B37" s="192"/>
      <c r="D37" s="7" t="s">
        <v>86</v>
      </c>
      <c r="E37" s="29"/>
      <c r="F37" s="8"/>
      <c r="G37" s="85"/>
      <c r="H37" s="108">
        <f>IF($O$40="NO",0,H21)</f>
        <v>0</v>
      </c>
      <c r="I37" s="85">
        <f t="shared" si="10"/>
        <v>0</v>
      </c>
      <c r="J37" s="85">
        <v>0</v>
      </c>
      <c r="K37" s="8"/>
      <c r="L37" s="38">
        <f t="shared" si="1"/>
        <v>0</v>
      </c>
      <c r="M37" s="8"/>
      <c r="N37" s="109" t="s">
        <v>87</v>
      </c>
      <c r="O37" s="1"/>
      <c r="Q37" s="26"/>
    </row>
    <row r="38" spans="2:17" ht="15" customHeight="1" outlineLevel="1">
      <c r="B38" s="192"/>
      <c r="D38" s="7" t="s">
        <v>88</v>
      </c>
      <c r="E38" s="29"/>
      <c r="F38" s="8"/>
      <c r="G38" s="85"/>
      <c r="H38" s="6">
        <f>IF($O$40="NO",0,H21)</f>
        <v>0</v>
      </c>
      <c r="I38" s="85">
        <f t="shared" si="10"/>
        <v>0</v>
      </c>
      <c r="J38" s="85">
        <v>0</v>
      </c>
      <c r="K38" s="8"/>
      <c r="L38" s="38">
        <f t="shared" si="1"/>
        <v>0</v>
      </c>
      <c r="M38" s="8"/>
      <c r="N38" s="109" t="s">
        <v>87</v>
      </c>
      <c r="O38" s="1"/>
      <c r="Q38" s="26"/>
    </row>
    <row r="39" spans="2:17" ht="5.25" customHeight="1" outlineLevel="1">
      <c r="B39" s="192"/>
      <c r="D39" s="7"/>
      <c r="E39" s="29"/>
      <c r="F39" s="8"/>
      <c r="G39" s="86"/>
      <c r="H39" s="8"/>
      <c r="I39" s="86"/>
      <c r="J39" s="86"/>
      <c r="K39" s="8"/>
      <c r="L39" s="39"/>
      <c r="M39" s="8"/>
      <c r="N39" s="129"/>
      <c r="O39" s="1"/>
      <c r="Q39" s="26"/>
    </row>
    <row r="40" spans="2:17" ht="15" customHeight="1" outlineLevel="1">
      <c r="B40" s="193"/>
      <c r="C40" s="130"/>
      <c r="D40" s="131" t="s">
        <v>89</v>
      </c>
      <c r="E40" s="123"/>
      <c r="F40" s="132"/>
      <c r="G40" s="133"/>
      <c r="H40" s="118">
        <f>IF($O$40="NO",0,1)</f>
        <v>0</v>
      </c>
      <c r="I40" s="117">
        <f t="shared" ref="I40" si="11">IFERROR(G40*H40,0)</f>
        <v>0</v>
      </c>
      <c r="J40" s="117">
        <v>0</v>
      </c>
      <c r="K40" s="132"/>
      <c r="L40" s="119">
        <f t="shared" si="1"/>
        <v>0</v>
      </c>
      <c r="M40" s="132"/>
      <c r="N40" s="134" t="s">
        <v>90</v>
      </c>
      <c r="O40" s="135" t="s">
        <v>91</v>
      </c>
      <c r="Q40" s="26"/>
    </row>
    <row r="41" spans="2:17" outlineLevel="1">
      <c r="D41" s="7"/>
      <c r="E41" s="29"/>
      <c r="F41" s="8"/>
      <c r="H41" s="8"/>
      <c r="I41" s="86"/>
      <c r="J41" s="86"/>
      <c r="K41" s="8"/>
      <c r="L41" s="124"/>
      <c r="M41" s="8"/>
      <c r="N41" s="22"/>
      <c r="O41" s="1"/>
      <c r="Q41" s="26"/>
    </row>
    <row r="42" spans="2:17" s="1" customFormat="1" ht="15" customHeight="1" outlineLevel="1">
      <c r="B42" s="191" t="s">
        <v>92</v>
      </c>
      <c r="C42" s="100"/>
      <c r="D42" s="101" t="s">
        <v>93</v>
      </c>
      <c r="E42" s="102" t="s">
        <v>67</v>
      </c>
      <c r="F42" s="103"/>
      <c r="G42" s="136"/>
      <c r="H42" s="122">
        <v>200</v>
      </c>
      <c r="I42" s="104">
        <f>IFERROR(G42*H42,-1)</f>
        <v>0</v>
      </c>
      <c r="J42" s="104">
        <v>0</v>
      </c>
      <c r="K42" s="103"/>
      <c r="L42" s="106">
        <f t="shared" si="1"/>
        <v>0</v>
      </c>
      <c r="M42" s="103"/>
      <c r="N42" s="137"/>
      <c r="P42"/>
      <c r="Q42" s="26"/>
    </row>
    <row r="43" spans="2:17" s="1" customFormat="1" ht="15" customHeight="1" outlineLevel="1">
      <c r="B43" s="192"/>
      <c r="D43" s="4" t="s">
        <v>94</v>
      </c>
      <c r="E43" s="29" t="s">
        <v>67</v>
      </c>
      <c r="F43" s="5"/>
      <c r="G43" s="138"/>
      <c r="H43" s="6">
        <f>$H$21</f>
        <v>15</v>
      </c>
      <c r="I43" s="85">
        <f>IFERROR(G43*H43,0)</f>
        <v>0</v>
      </c>
      <c r="J43" s="85">
        <v>0</v>
      </c>
      <c r="K43" s="5"/>
      <c r="L43" s="38">
        <f t="shared" si="1"/>
        <v>0</v>
      </c>
      <c r="M43" s="5"/>
      <c r="N43" s="129"/>
      <c r="Q43" s="1" t="s">
        <v>95</v>
      </c>
    </row>
    <row r="44" spans="2:17" s="1" customFormat="1" ht="15" customHeight="1" outlineLevel="1">
      <c r="B44" s="192"/>
      <c r="D44" s="4" t="s">
        <v>96</v>
      </c>
      <c r="E44" s="29" t="s">
        <v>67</v>
      </c>
      <c r="F44" s="5"/>
      <c r="G44" s="138"/>
      <c r="H44" s="6">
        <v>1</v>
      </c>
      <c r="I44" s="85">
        <f>IFERROR(G44*H44,0)</f>
        <v>0</v>
      </c>
      <c r="J44" s="85">
        <v>0</v>
      </c>
      <c r="K44" s="5"/>
      <c r="L44" s="38">
        <f t="shared" si="1"/>
        <v>0</v>
      </c>
      <c r="M44" s="5"/>
      <c r="N44" s="129"/>
      <c r="Q44" s="1" t="s">
        <v>97</v>
      </c>
    </row>
    <row r="45" spans="2:17" s="1" customFormat="1" ht="15" customHeight="1" outlineLevel="1">
      <c r="B45" s="192"/>
      <c r="D45" s="4" t="s">
        <v>98</v>
      </c>
      <c r="E45" s="29" t="s">
        <v>67</v>
      </c>
      <c r="F45" s="5"/>
      <c r="G45" s="138"/>
      <c r="H45" s="6">
        <v>2</v>
      </c>
      <c r="I45" s="85">
        <f>IFERROR(G45*H45,0)</f>
        <v>0</v>
      </c>
      <c r="J45" s="85">
        <v>0</v>
      </c>
      <c r="K45" s="5"/>
      <c r="L45" s="38">
        <f t="shared" si="1"/>
        <v>0</v>
      </c>
      <c r="M45" s="5"/>
      <c r="N45" s="129"/>
      <c r="Q45" s="26"/>
    </row>
    <row r="46" spans="2:17" ht="5.25" customHeight="1" outlineLevel="1">
      <c r="B46" s="192"/>
      <c r="D46" s="7"/>
      <c r="E46" s="29"/>
      <c r="F46" s="8"/>
      <c r="H46" s="8"/>
      <c r="I46" s="86"/>
      <c r="J46" s="86"/>
      <c r="K46" s="8"/>
      <c r="L46" s="39"/>
      <c r="M46" s="8"/>
      <c r="N46" s="129"/>
      <c r="Q46" s="26"/>
    </row>
    <row r="47" spans="2:17" s="1" customFormat="1" ht="15" customHeight="1" outlineLevel="1">
      <c r="B47" s="192"/>
      <c r="D47" s="4" t="s">
        <v>99</v>
      </c>
      <c r="E47" s="29" t="s">
        <v>67</v>
      </c>
      <c r="F47" s="5"/>
      <c r="G47" s="138"/>
      <c r="H47" s="6">
        <v>1</v>
      </c>
      <c r="I47" s="85">
        <v>0</v>
      </c>
      <c r="J47" s="85">
        <f>G47*H47</f>
        <v>0</v>
      </c>
      <c r="K47" s="5"/>
      <c r="L47" s="38">
        <f t="shared" si="1"/>
        <v>0</v>
      </c>
      <c r="M47" s="5"/>
      <c r="N47" s="139"/>
      <c r="Q47" s="26"/>
    </row>
    <row r="48" spans="2:17" s="1" customFormat="1" ht="15" customHeight="1" outlineLevel="1">
      <c r="B48" s="193"/>
      <c r="C48" s="113"/>
      <c r="D48" s="114" t="s">
        <v>100</v>
      </c>
      <c r="E48" s="123" t="s">
        <v>67</v>
      </c>
      <c r="F48" s="116"/>
      <c r="G48" s="133"/>
      <c r="H48" s="118">
        <v>1</v>
      </c>
      <c r="I48" s="140">
        <f>0</f>
        <v>0</v>
      </c>
      <c r="J48" s="117">
        <f>H48*G48</f>
        <v>0</v>
      </c>
      <c r="K48" s="116"/>
      <c r="L48" s="119">
        <f>IFERROR(J48/$G$2,0)</f>
        <v>0</v>
      </c>
      <c r="M48" s="116"/>
      <c r="N48" s="141"/>
      <c r="O48" s="31"/>
      <c r="Q48" s="26"/>
    </row>
    <row r="49" spans="2:17" s="1" customFormat="1" outlineLevel="1" collapsed="1">
      <c r="B49"/>
      <c r="D49" s="4"/>
      <c r="E49" s="4"/>
      <c r="F49" s="5"/>
      <c r="G49" s="85"/>
      <c r="H49" s="6"/>
      <c r="I49" s="85"/>
      <c r="J49" s="85"/>
      <c r="K49" s="5"/>
      <c r="L49" s="121"/>
      <c r="M49" s="5"/>
      <c r="Q49" s="26"/>
    </row>
    <row r="50" spans="2:17" s="1" customFormat="1" outlineLevel="1" collapsed="1">
      <c r="B50" s="10"/>
      <c r="C50" s="11"/>
      <c r="D50" s="12"/>
      <c r="E50" s="12"/>
      <c r="F50" s="13"/>
      <c r="G50" s="87"/>
      <c r="H50" s="14"/>
      <c r="I50" s="87"/>
      <c r="J50" s="87"/>
      <c r="K50" s="5"/>
      <c r="L50" s="39"/>
      <c r="M50" s="5"/>
      <c r="Q50" s="26"/>
    </row>
    <row r="51" spans="2:17" s="1" customFormat="1" ht="15" customHeight="1">
      <c r="B51" s="194" t="s">
        <v>101</v>
      </c>
      <c r="D51" s="4" t="s">
        <v>102</v>
      </c>
      <c r="F51" s="5"/>
      <c r="G51" s="88"/>
      <c r="H51" s="6"/>
      <c r="I51" s="85">
        <f>SUM(I6:I23)*(1+G54)</f>
        <v>0</v>
      </c>
      <c r="J51" s="85">
        <f>SUM(J6:J23)</f>
        <v>0</v>
      </c>
      <c r="K51" s="5"/>
      <c r="L51" s="38">
        <f t="shared" si="1"/>
        <v>0</v>
      </c>
      <c r="M51" s="5"/>
    </row>
    <row r="52" spans="2:17" s="1" customFormat="1" ht="15" customHeight="1">
      <c r="B52" s="194"/>
      <c r="D52" s="4" t="s">
        <v>103</v>
      </c>
      <c r="E52" s="29"/>
      <c r="F52" s="5"/>
      <c r="G52" s="88"/>
      <c r="H52" s="6"/>
      <c r="I52" s="85">
        <f>SUM(I25:I38)*(1+G54)</f>
        <v>0</v>
      </c>
      <c r="J52" s="85">
        <f>SUM(J25:J38)</f>
        <v>0</v>
      </c>
      <c r="K52" s="5"/>
      <c r="L52" s="38">
        <f t="shared" si="1"/>
        <v>0</v>
      </c>
      <c r="M52" s="5"/>
    </row>
    <row r="53" spans="2:17" s="1" customFormat="1" ht="15" customHeight="1">
      <c r="B53" s="194"/>
      <c r="D53" s="4" t="s">
        <v>104</v>
      </c>
      <c r="E53" s="29"/>
      <c r="F53" s="5"/>
      <c r="G53" s="89"/>
      <c r="H53" s="6"/>
      <c r="I53" s="85">
        <f>SUM(I40:I48)</f>
        <v>0</v>
      </c>
      <c r="J53" s="85">
        <f>SUM(J40:J48)</f>
        <v>0</v>
      </c>
      <c r="K53" s="5"/>
      <c r="L53" s="38">
        <f t="shared" si="1"/>
        <v>0</v>
      </c>
      <c r="M53" s="5"/>
    </row>
    <row r="54" spans="2:17" s="15" customFormat="1" ht="15" customHeight="1">
      <c r="B54" s="194"/>
      <c r="D54" s="52" t="s">
        <v>105</v>
      </c>
      <c r="E54" s="29"/>
      <c r="G54" s="201"/>
      <c r="H54" s="201"/>
      <c r="I54" s="99">
        <f>SUM(I51:I53)</f>
        <v>0</v>
      </c>
      <c r="J54" s="99">
        <f>SUM(J6:J48)</f>
        <v>0</v>
      </c>
      <c r="L54" s="40"/>
      <c r="P54" s="1"/>
      <c r="Q54" s="26"/>
    </row>
    <row r="55" spans="2:17" s="1" customFormat="1" ht="15" customHeight="1">
      <c r="B55" s="194"/>
      <c r="D55" s="4" t="s">
        <v>106</v>
      </c>
      <c r="E55" s="29"/>
      <c r="F55" s="5"/>
      <c r="G55" s="90"/>
      <c r="H55" s="6"/>
      <c r="I55" s="85">
        <f>SUM(I51:I52)*G55</f>
        <v>0</v>
      </c>
      <c r="J55" s="85">
        <v>0</v>
      </c>
      <c r="K55" s="5"/>
      <c r="L55" s="38">
        <f t="shared" si="1"/>
        <v>0</v>
      </c>
      <c r="M55" s="5"/>
      <c r="N55" s="80" t="s">
        <v>106</v>
      </c>
      <c r="O55" s="81"/>
      <c r="Q55" s="26"/>
    </row>
    <row r="56" spans="2:17" s="1" customFormat="1" ht="15" customHeight="1">
      <c r="B56" s="194"/>
      <c r="D56" s="4" t="s">
        <v>107</v>
      </c>
      <c r="E56" s="29"/>
      <c r="F56" s="5"/>
      <c r="G56" s="90"/>
      <c r="H56" s="6"/>
      <c r="I56" s="85">
        <f>(I54-I42--I44-I45)*G56</f>
        <v>0</v>
      </c>
      <c r="J56" s="85">
        <v>0</v>
      </c>
      <c r="K56" s="5"/>
      <c r="L56" s="38">
        <f t="shared" si="1"/>
        <v>0</v>
      </c>
      <c r="M56" s="5"/>
      <c r="N56" s="80" t="s">
        <v>108</v>
      </c>
      <c r="O56" s="81"/>
      <c r="P56" s="18"/>
      <c r="Q56" s="26"/>
    </row>
    <row r="57" spans="2:17" s="1" customFormat="1" ht="15.75" customHeight="1">
      <c r="B57" s="194"/>
      <c r="D57" s="4" t="s">
        <v>109</v>
      </c>
      <c r="E57" s="29"/>
      <c r="F57" s="5"/>
      <c r="G57" s="90"/>
      <c r="H57" s="6"/>
      <c r="I57" s="85">
        <f>SUM(I51:I53)*G57</f>
        <v>0</v>
      </c>
      <c r="J57" s="85">
        <f>SUM(J51:J53)*G57</f>
        <v>0</v>
      </c>
      <c r="K57" s="5"/>
      <c r="L57" s="38">
        <f t="shared" si="1"/>
        <v>0</v>
      </c>
      <c r="M57" s="5"/>
      <c r="N57" s="80" t="s">
        <v>109</v>
      </c>
      <c r="O57" s="82"/>
      <c r="P57" s="18"/>
      <c r="Q57" s="26"/>
    </row>
    <row r="58" spans="2:17" s="15" customFormat="1" ht="15.75" customHeight="1">
      <c r="B58" s="194"/>
      <c r="D58" s="52" t="s">
        <v>15</v>
      </c>
      <c r="E58" s="29"/>
      <c r="G58" s="201"/>
      <c r="H58" s="201"/>
      <c r="I58" s="99">
        <f>SUM(I54:I57)</f>
        <v>0</v>
      </c>
      <c r="J58" s="99">
        <f>SUM(J54:J57)</f>
        <v>0</v>
      </c>
      <c r="K58" s="5"/>
      <c r="L58" s="51">
        <f t="shared" si="1"/>
        <v>0</v>
      </c>
      <c r="M58" s="5"/>
      <c r="N58" s="18"/>
      <c r="O58" s="18"/>
      <c r="P58"/>
      <c r="Q58" s="26"/>
    </row>
    <row r="59" spans="2:17" s="18" customFormat="1" ht="15" customHeight="1">
      <c r="E59" s="29"/>
      <c r="G59" s="91"/>
      <c r="H59" s="19"/>
      <c r="I59" s="94"/>
      <c r="J59" s="92"/>
      <c r="L59" s="36"/>
      <c r="N59"/>
      <c r="O59"/>
      <c r="P59"/>
    </row>
    <row r="60" spans="2:17" s="18" customFormat="1">
      <c r="E60" s="29"/>
      <c r="G60" s="92"/>
      <c r="I60" s="92"/>
      <c r="J60" s="94"/>
      <c r="L60" s="36"/>
      <c r="N60"/>
      <c r="O60"/>
      <c r="P60"/>
    </row>
    <row r="61" spans="2:17">
      <c r="E61" s="29"/>
      <c r="G61" s="93"/>
      <c r="H61" s="16"/>
      <c r="I61" s="95"/>
    </row>
    <row r="62" spans="2:17">
      <c r="E62" s="29"/>
      <c r="I62" s="95"/>
      <c r="J62" s="95"/>
    </row>
    <row r="63" spans="2:17">
      <c r="E63" s="29"/>
      <c r="I63" s="95"/>
    </row>
    <row r="64" spans="2:17">
      <c r="E64" s="29"/>
    </row>
    <row r="65" spans="5:5">
      <c r="E65" s="29"/>
    </row>
    <row r="66" spans="5:5">
      <c r="E66" s="29"/>
    </row>
    <row r="67" spans="5:5">
      <c r="E67" s="29"/>
    </row>
    <row r="68" spans="5:5">
      <c r="E68" s="29"/>
    </row>
  </sheetData>
  <mergeCells count="9">
    <mergeCell ref="B42:B48"/>
    <mergeCell ref="B51:B58"/>
    <mergeCell ref="G2:J2"/>
    <mergeCell ref="G3:J3"/>
    <mergeCell ref="B6:B23"/>
    <mergeCell ref="B25:B33"/>
    <mergeCell ref="B35:B40"/>
    <mergeCell ref="G54:H54"/>
    <mergeCell ref="G58:H58"/>
  </mergeCells>
  <conditionalFormatting sqref="L6:L48">
    <cfRule type="colorScale" priority="2">
      <colorScale>
        <cfvo type="min"/>
        <cfvo type="max"/>
        <color theme="0"/>
        <color theme="7"/>
      </colorScale>
    </cfRule>
  </conditionalFormatting>
  <conditionalFormatting sqref="L51:L57">
    <cfRule type="colorScale" priority="1">
      <colorScale>
        <cfvo type="min"/>
        <cfvo type="max"/>
        <color theme="0"/>
        <color theme="5" tint="0.39997558519241921"/>
      </colorScale>
    </cfRule>
  </conditionalFormatting>
  <conditionalFormatting sqref="N35:N38 D35:K40">
    <cfRule type="expression" dxfId="0" priority="3">
      <formula>$O$40="NO"</formula>
    </cfRule>
  </conditionalFormatting>
  <dataValidations count="1">
    <dataValidation type="list" allowBlank="1" showInputMessage="1" showErrorMessage="1" sqref="O40" xr:uid="{28DFDF5F-0FE2-422E-AB58-9F9B68A79999}">
      <formula1>"YES,NO"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A61C7B-D515-4F82-BA71-683C35DF9604}">
  <sheetPr>
    <tabColor theme="1" tint="0.249977111117893"/>
  </sheetPr>
  <dimension ref="A1:U64"/>
  <sheetViews>
    <sheetView showGridLines="0" tabSelected="1" zoomScaleNormal="100" workbookViewId="0">
      <pane ySplit="5" topLeftCell="A25" activePane="bottomLeft" state="frozen"/>
      <selection pane="bottomLeft" activeCell="I42" sqref="I42"/>
      <selection activeCell="F54" sqref="F54"/>
    </sheetView>
  </sheetViews>
  <sheetFormatPr defaultColWidth="8.85546875" defaultRowHeight="14.45" outlineLevelCol="1"/>
  <cols>
    <col min="1" max="1" width="3" style="1" customWidth="1"/>
    <col min="2" max="2" width="6.42578125" style="1" customWidth="1"/>
    <col min="3" max="3" width="1.42578125" style="1" customWidth="1"/>
    <col min="4" max="4" width="57.140625" style="1" customWidth="1"/>
    <col min="5" max="6" width="20" style="153" hidden="1" customWidth="1" outlineLevel="1"/>
    <col min="7" max="7" width="3" style="1" customWidth="1" collapsed="1"/>
    <col min="8" max="8" width="12.85546875" style="1" customWidth="1"/>
    <col min="9" max="9" width="10" style="1" customWidth="1"/>
    <col min="10" max="11" width="12.85546875" style="1" customWidth="1"/>
    <col min="12" max="12" width="3" style="1" customWidth="1"/>
    <col min="13" max="13" width="10" style="41" customWidth="1"/>
    <col min="14" max="14" width="3" style="1" customWidth="1"/>
    <col min="15" max="15" width="37.28515625" style="151" customWidth="1"/>
    <col min="16" max="16" width="10" style="1" customWidth="1"/>
    <col min="17" max="17" width="3" style="1" customWidth="1"/>
    <col min="18" max="16384" width="8.85546875" style="1"/>
  </cols>
  <sheetData>
    <row r="1" spans="1:18">
      <c r="A1" s="1" t="s">
        <v>110</v>
      </c>
    </row>
    <row r="2" spans="1:18">
      <c r="G2" s="154" t="s">
        <v>111</v>
      </c>
      <c r="H2" s="206">
        <f>' SIZE '!$F$25</f>
        <v>0</v>
      </c>
      <c r="I2" s="207" t="e">
        <v>#REF!</v>
      </c>
      <c r="J2" s="207" t="e">
        <v>#REF!</v>
      </c>
      <c r="K2" s="208" t="e">
        <v>#REF!</v>
      </c>
      <c r="M2" s="155"/>
      <c r="O2" s="156" t="s">
        <v>14</v>
      </c>
    </row>
    <row r="3" spans="1:18">
      <c r="G3" s="154" t="s">
        <v>112</v>
      </c>
      <c r="H3" s="209">
        <f>H2*O3</f>
        <v>0</v>
      </c>
      <c r="I3" s="210" t="e">
        <v>#REF!</v>
      </c>
      <c r="J3" s="210" t="e">
        <v>#REF!</v>
      </c>
      <c r="K3" s="211" t="e">
        <v>#REF!</v>
      </c>
      <c r="M3" s="155"/>
      <c r="O3" s="157">
        <v>1</v>
      </c>
    </row>
    <row r="4" spans="1:18" ht="7.5" customHeight="1">
      <c r="M4" s="155"/>
    </row>
    <row r="5" spans="1:18" s="158" customFormat="1" ht="15.95">
      <c r="D5" s="159"/>
      <c r="E5" s="160" t="s">
        <v>113</v>
      </c>
      <c r="F5" s="160" t="s">
        <v>114</v>
      </c>
      <c r="H5" s="161" t="s">
        <v>34</v>
      </c>
      <c r="I5" s="161" t="s">
        <v>35</v>
      </c>
      <c r="J5" s="161" t="s">
        <v>36</v>
      </c>
      <c r="K5" s="161" t="s">
        <v>37</v>
      </c>
      <c r="M5" s="162" t="s">
        <v>38</v>
      </c>
      <c r="O5" s="163" t="s">
        <v>39</v>
      </c>
      <c r="P5" s="164"/>
      <c r="Q5" s="1"/>
    </row>
    <row r="6" spans="1:18" ht="17.25" customHeight="1">
      <c r="B6" s="191" t="s">
        <v>115</v>
      </c>
      <c r="C6" s="100"/>
      <c r="D6" s="101" t="s">
        <v>116</v>
      </c>
      <c r="E6" s="102" t="s">
        <v>117</v>
      </c>
      <c r="F6" s="102" t="s">
        <v>118</v>
      </c>
      <c r="G6" s="103"/>
      <c r="H6" s="143"/>
      <c r="I6" s="105">
        <f>P50</f>
        <v>0</v>
      </c>
      <c r="J6" s="143">
        <f t="shared" ref="J6:J7" si="0">IFERROR(H6*I6,0)</f>
        <v>0</v>
      </c>
      <c r="K6" s="143">
        <v>0</v>
      </c>
      <c r="L6" s="103"/>
      <c r="M6" s="106">
        <f>IFERROR(J6/$H$2,0)</f>
        <v>0</v>
      </c>
      <c r="N6" s="103"/>
      <c r="O6" s="147" t="s">
        <v>119</v>
      </c>
      <c r="R6" s="26"/>
    </row>
    <row r="7" spans="1:18" ht="17.25" customHeight="1">
      <c r="B7" s="192"/>
      <c r="D7" s="4" t="s">
        <v>120</v>
      </c>
      <c r="E7" s="29" t="s">
        <v>117</v>
      </c>
      <c r="F7" s="29" t="s">
        <v>121</v>
      </c>
      <c r="G7" s="5"/>
      <c r="H7" s="96"/>
      <c r="I7" s="108">
        <f>IF(ROUNDUP(($I$16+$I$19)/4,0)&lt;$P$50,$P$50,ROUNDUP(($I$16+$I$19)/4,0))</f>
        <v>0</v>
      </c>
      <c r="J7" s="70">
        <f t="shared" si="0"/>
        <v>0</v>
      </c>
      <c r="K7" s="70">
        <v>0</v>
      </c>
      <c r="L7" s="5"/>
      <c r="M7" s="38">
        <f t="shared" ref="M7:M56" si="1">IFERROR(J7/$H$2,0)</f>
        <v>0</v>
      </c>
      <c r="N7" s="5"/>
      <c r="O7" s="148" t="s">
        <v>122</v>
      </c>
      <c r="R7" s="26"/>
    </row>
    <row r="8" spans="1:18" ht="17.25" customHeight="1">
      <c r="B8" s="192"/>
      <c r="D8" s="4" t="s">
        <v>123</v>
      </c>
      <c r="E8" s="29" t="s">
        <v>117</v>
      </c>
      <c r="F8" s="29" t="s">
        <v>124</v>
      </c>
      <c r="G8" s="5"/>
      <c r="H8" s="96"/>
      <c r="I8" s="108">
        <f>IF(I6*2-I7&lt;0,0,I6*2-I7)</f>
        <v>0</v>
      </c>
      <c r="J8" s="70">
        <f t="shared" ref="J8:J12" si="2">IFERROR(H8*I8,0)</f>
        <v>0</v>
      </c>
      <c r="K8" s="70">
        <v>0</v>
      </c>
      <c r="L8" s="5"/>
      <c r="M8" s="38">
        <f t="shared" si="1"/>
        <v>0</v>
      </c>
      <c r="N8" s="5"/>
      <c r="O8" s="148" t="s">
        <v>125</v>
      </c>
      <c r="R8" s="26"/>
    </row>
    <row r="9" spans="1:18" ht="17.25" customHeight="1">
      <c r="B9" s="192"/>
      <c r="D9" s="4" t="s">
        <v>126</v>
      </c>
      <c r="E9" s="29" t="s">
        <v>117</v>
      </c>
      <c r="F9" s="29" t="s">
        <v>127</v>
      </c>
      <c r="G9" s="5"/>
      <c r="H9" s="96"/>
      <c r="I9" s="108">
        <v>2</v>
      </c>
      <c r="J9" s="70">
        <f t="shared" si="2"/>
        <v>0</v>
      </c>
      <c r="K9" s="70">
        <v>0</v>
      </c>
      <c r="L9" s="5"/>
      <c r="M9" s="38">
        <f t="shared" si="1"/>
        <v>0</v>
      </c>
      <c r="N9" s="5"/>
      <c r="O9" s="148" t="s">
        <v>128</v>
      </c>
      <c r="R9" s="26"/>
    </row>
    <row r="10" spans="1:18" ht="17.25" customHeight="1">
      <c r="B10" s="192"/>
      <c r="D10" s="4" t="s">
        <v>129</v>
      </c>
      <c r="E10" s="29" t="s">
        <v>117</v>
      </c>
      <c r="F10" s="29" t="s">
        <v>130</v>
      </c>
      <c r="G10" s="5"/>
      <c r="H10" s="96"/>
      <c r="I10" s="108">
        <v>2</v>
      </c>
      <c r="J10" s="70">
        <f t="shared" si="2"/>
        <v>0</v>
      </c>
      <c r="K10" s="70">
        <v>0</v>
      </c>
      <c r="L10" s="5"/>
      <c r="M10" s="38">
        <f t="shared" si="1"/>
        <v>0</v>
      </c>
      <c r="N10" s="5"/>
      <c r="O10" s="148" t="s">
        <v>128</v>
      </c>
      <c r="R10" s="26"/>
    </row>
    <row r="11" spans="1:18" ht="17.25" customHeight="1">
      <c r="B11" s="192"/>
      <c r="D11" s="4" t="s">
        <v>131</v>
      </c>
      <c r="E11" s="29" t="s">
        <v>117</v>
      </c>
      <c r="F11" s="29" t="s">
        <v>132</v>
      </c>
      <c r="G11" s="5"/>
      <c r="H11" s="96"/>
      <c r="I11" s="108">
        <v>2</v>
      </c>
      <c r="J11" s="70">
        <f t="shared" si="2"/>
        <v>0</v>
      </c>
      <c r="K11" s="70">
        <v>0</v>
      </c>
      <c r="L11" s="5"/>
      <c r="M11" s="38">
        <f t="shared" si="1"/>
        <v>0</v>
      </c>
      <c r="N11" s="5"/>
      <c r="O11" s="148" t="s">
        <v>128</v>
      </c>
      <c r="R11" s="26"/>
    </row>
    <row r="12" spans="1:18" ht="17.25" customHeight="1">
      <c r="B12" s="192"/>
      <c r="D12" s="4" t="s">
        <v>133</v>
      </c>
      <c r="E12" s="29" t="s">
        <v>117</v>
      </c>
      <c r="F12" s="29" t="s">
        <v>134</v>
      </c>
      <c r="G12" s="5"/>
      <c r="H12" s="96"/>
      <c r="I12" s="108">
        <v>2</v>
      </c>
      <c r="J12" s="70">
        <f t="shared" si="2"/>
        <v>0</v>
      </c>
      <c r="K12" s="70">
        <v>0</v>
      </c>
      <c r="L12" s="5"/>
      <c r="M12" s="38">
        <f t="shared" si="1"/>
        <v>0</v>
      </c>
      <c r="N12" s="5"/>
      <c r="O12" s="148" t="s">
        <v>128</v>
      </c>
      <c r="R12" s="26"/>
    </row>
    <row r="13" spans="1:18" ht="17.25" customHeight="1">
      <c r="B13" s="192"/>
      <c r="D13" s="4" t="s">
        <v>135</v>
      </c>
      <c r="E13" s="29" t="s">
        <v>117</v>
      </c>
      <c r="F13" s="29" t="s">
        <v>136</v>
      </c>
      <c r="G13" s="5"/>
      <c r="H13" s="96"/>
      <c r="I13" s="108">
        <f>P50*8-SUM(I9:I12)</f>
        <v>-8</v>
      </c>
      <c r="J13" s="70">
        <f t="shared" ref="J13:J14" si="3">IFERROR(H13*I13,0)</f>
        <v>0</v>
      </c>
      <c r="K13" s="70">
        <v>0</v>
      </c>
      <c r="L13" s="5"/>
      <c r="M13" s="38">
        <f t="shared" si="1"/>
        <v>0</v>
      </c>
      <c r="N13" s="5"/>
      <c r="O13" s="148" t="s">
        <v>137</v>
      </c>
      <c r="R13" s="26"/>
    </row>
    <row r="14" spans="1:18" ht="17.25" customHeight="1">
      <c r="B14" s="193"/>
      <c r="C14" s="113"/>
      <c r="D14" s="114" t="s">
        <v>138</v>
      </c>
      <c r="E14" s="123" t="s">
        <v>117</v>
      </c>
      <c r="F14" s="123" t="s">
        <v>139</v>
      </c>
      <c r="G14" s="116"/>
      <c r="H14" s="144"/>
      <c r="I14" s="145">
        <f>P50</f>
        <v>0</v>
      </c>
      <c r="J14" s="146">
        <f t="shared" si="3"/>
        <v>0</v>
      </c>
      <c r="K14" s="146">
        <v>0</v>
      </c>
      <c r="L14" s="116"/>
      <c r="M14" s="119">
        <f t="shared" ref="M14" si="4">IFERROR(J14/$H$2,0)</f>
        <v>0</v>
      </c>
      <c r="N14" s="116"/>
      <c r="O14" s="149" t="s">
        <v>119</v>
      </c>
      <c r="R14" s="26"/>
    </row>
    <row r="15" spans="1:18" ht="7.5" customHeight="1">
      <c r="D15" s="4"/>
      <c r="E15" s="29"/>
      <c r="F15" s="29"/>
      <c r="G15" s="5"/>
      <c r="H15" s="96"/>
      <c r="I15" s="165"/>
      <c r="J15" s="70"/>
      <c r="K15" s="70"/>
      <c r="L15" s="5"/>
      <c r="M15" s="124"/>
      <c r="N15" s="5"/>
      <c r="O15" s="150"/>
      <c r="R15" s="26"/>
    </row>
    <row r="16" spans="1:18" ht="17.25" customHeight="1">
      <c r="B16" s="212" t="s">
        <v>140</v>
      </c>
      <c r="C16" s="100"/>
      <c r="D16" s="101" t="s">
        <v>141</v>
      </c>
      <c r="E16" s="102" t="s">
        <v>117</v>
      </c>
      <c r="F16" s="102" t="s">
        <v>142</v>
      </c>
      <c r="G16" s="103"/>
      <c r="H16" s="142"/>
      <c r="I16" s="105">
        <f>' SIZE '!D25</f>
        <v>0</v>
      </c>
      <c r="J16" s="143">
        <f>IFERROR(H16*I16,0)</f>
        <v>0</v>
      </c>
      <c r="K16" s="143">
        <v>0</v>
      </c>
      <c r="L16" s="103"/>
      <c r="M16" s="106">
        <f t="shared" si="1"/>
        <v>0</v>
      </c>
      <c r="N16" s="103"/>
      <c r="O16" s="147" t="s">
        <v>143</v>
      </c>
      <c r="R16" s="26"/>
    </row>
    <row r="17" spans="2:21" ht="17.25" customHeight="1">
      <c r="B17" s="213"/>
      <c r="D17" s="4" t="s">
        <v>144</v>
      </c>
      <c r="E17" s="29" t="s">
        <v>117</v>
      </c>
      <c r="F17" s="29" t="s">
        <v>145</v>
      </c>
      <c r="G17" s="5"/>
      <c r="H17" s="181"/>
      <c r="I17" s="108">
        <f>I16</f>
        <v>0</v>
      </c>
      <c r="J17" s="70">
        <f t="shared" ref="J17:J27" si="5">IFERROR(H17*I17,0)</f>
        <v>0</v>
      </c>
      <c r="K17" s="70">
        <v>0</v>
      </c>
      <c r="L17" s="5"/>
      <c r="M17" s="38">
        <f t="shared" ref="M17" si="6">IFERROR(J17/$H$2,0)</f>
        <v>0</v>
      </c>
      <c r="N17" s="5"/>
      <c r="O17" s="148" t="s">
        <v>146</v>
      </c>
      <c r="R17" s="26"/>
    </row>
    <row r="18" spans="2:21" ht="7.5" customHeight="1">
      <c r="B18" s="213"/>
      <c r="D18" s="4"/>
      <c r="E18" s="29"/>
      <c r="F18" s="29"/>
      <c r="G18" s="5"/>
      <c r="H18" s="96"/>
      <c r="I18" s="165"/>
      <c r="J18" s="70">
        <f t="shared" si="5"/>
        <v>0</v>
      </c>
      <c r="K18" s="70"/>
      <c r="L18" s="5"/>
      <c r="M18" s="39"/>
      <c r="N18" s="5"/>
      <c r="O18" s="148"/>
      <c r="R18" s="26"/>
    </row>
    <row r="19" spans="2:21" ht="17.25" customHeight="1">
      <c r="B19" s="213"/>
      <c r="D19" s="4" t="s">
        <v>147</v>
      </c>
      <c r="E19" s="29" t="s">
        <v>117</v>
      </c>
      <c r="F19" s="29" t="s">
        <v>148</v>
      </c>
      <c r="G19" s="5"/>
      <c r="H19" s="96"/>
      <c r="I19" s="108">
        <f>' SIZE '!C25</f>
        <v>0</v>
      </c>
      <c r="J19" s="70">
        <f t="shared" si="5"/>
        <v>0</v>
      </c>
      <c r="K19" s="70">
        <v>0</v>
      </c>
      <c r="L19" s="5"/>
      <c r="M19" s="38">
        <f t="shared" ref="M19:M20" si="7">IFERROR(J19/$H$2,0)</f>
        <v>0</v>
      </c>
      <c r="N19" s="5"/>
      <c r="O19" s="148" t="s">
        <v>143</v>
      </c>
      <c r="R19" s="26"/>
    </row>
    <row r="20" spans="2:21" ht="17.25" customHeight="1">
      <c r="B20" s="214"/>
      <c r="C20" s="113"/>
      <c r="D20" s="114" t="s">
        <v>149</v>
      </c>
      <c r="E20" s="123" t="s">
        <v>117</v>
      </c>
      <c r="F20" s="123" t="s">
        <v>150</v>
      </c>
      <c r="G20" s="116"/>
      <c r="H20" s="144"/>
      <c r="I20" s="145">
        <f>I19</f>
        <v>0</v>
      </c>
      <c r="J20" s="146">
        <f t="shared" si="5"/>
        <v>0</v>
      </c>
      <c r="K20" s="146">
        <v>0</v>
      </c>
      <c r="L20" s="116"/>
      <c r="M20" s="119">
        <f t="shared" si="7"/>
        <v>0</v>
      </c>
      <c r="N20" s="116"/>
      <c r="O20" s="149" t="s">
        <v>151</v>
      </c>
      <c r="R20" s="26"/>
    </row>
    <row r="21" spans="2:21" ht="7.5" customHeight="1">
      <c r="D21" s="4"/>
      <c r="E21" s="29"/>
      <c r="F21" s="29"/>
      <c r="G21" s="5"/>
      <c r="H21" s="96"/>
      <c r="I21" s="165"/>
      <c r="J21" s="70">
        <f t="shared" si="5"/>
        <v>0</v>
      </c>
      <c r="K21" s="70"/>
      <c r="L21" s="5"/>
      <c r="M21" s="124"/>
      <c r="N21" s="5"/>
      <c r="O21" s="150"/>
      <c r="R21" s="26"/>
    </row>
    <row r="22" spans="2:21" ht="17.25" customHeight="1">
      <c r="B22" s="202" t="s">
        <v>152</v>
      </c>
      <c r="C22" s="100"/>
      <c r="D22" s="101" t="s">
        <v>153</v>
      </c>
      <c r="E22" s="172" t="s">
        <v>67</v>
      </c>
      <c r="F22" s="172" t="s">
        <v>67</v>
      </c>
      <c r="G22" s="103"/>
      <c r="H22" s="142"/>
      <c r="I22" s="105">
        <f>' SIZE '!E25*O3</f>
        <v>0</v>
      </c>
      <c r="J22" s="143">
        <f t="shared" si="5"/>
        <v>0</v>
      </c>
      <c r="K22" s="143">
        <v>0</v>
      </c>
      <c r="L22" s="103"/>
      <c r="M22" s="106">
        <f t="shared" si="1"/>
        <v>0</v>
      </c>
      <c r="N22" s="103"/>
      <c r="O22" s="147" t="s">
        <v>154</v>
      </c>
      <c r="R22" s="26"/>
    </row>
    <row r="23" spans="2:21" ht="17.25" customHeight="1">
      <c r="B23" s="203"/>
      <c r="D23" s="4" t="s">
        <v>155</v>
      </c>
      <c r="E23" s="173" t="s">
        <v>67</v>
      </c>
      <c r="F23" s="173" t="s">
        <v>67</v>
      </c>
      <c r="G23" s="5"/>
      <c r="H23" s="96"/>
      <c r="I23" s="108">
        <v>0</v>
      </c>
      <c r="J23" s="70">
        <f t="shared" si="5"/>
        <v>0</v>
      </c>
      <c r="K23" s="70">
        <v>0</v>
      </c>
      <c r="L23" s="5"/>
      <c r="M23" s="38">
        <f t="shared" ref="M23:M24" si="8">IFERROR(J23/$H$2,0)</f>
        <v>0</v>
      </c>
      <c r="N23" s="5"/>
      <c r="O23" s="148" t="s">
        <v>154</v>
      </c>
      <c r="R23" s="26"/>
    </row>
    <row r="24" spans="2:21" ht="17.25" customHeight="1">
      <c r="B24" s="203"/>
      <c r="D24" s="4" t="s">
        <v>156</v>
      </c>
      <c r="E24" s="173" t="s">
        <v>67</v>
      </c>
      <c r="F24" s="173" t="s">
        <v>67</v>
      </c>
      <c r="G24" s="5"/>
      <c r="H24" s="96"/>
      <c r="I24" s="108">
        <v>0</v>
      </c>
      <c r="J24" s="70">
        <f t="shared" si="5"/>
        <v>0</v>
      </c>
      <c r="K24" s="70">
        <v>0</v>
      </c>
      <c r="L24" s="5"/>
      <c r="M24" s="38">
        <f t="shared" si="8"/>
        <v>0</v>
      </c>
      <c r="N24" s="5"/>
      <c r="O24" s="148" t="s">
        <v>157</v>
      </c>
      <c r="R24" s="26"/>
    </row>
    <row r="25" spans="2:21" ht="17.25" customHeight="1">
      <c r="B25" s="203"/>
      <c r="D25" s="4" t="s">
        <v>158</v>
      </c>
      <c r="E25" s="173"/>
      <c r="F25" s="173"/>
      <c r="G25" s="5"/>
      <c r="H25" s="96"/>
      <c r="I25" s="108"/>
      <c r="J25" s="70">
        <f t="shared" si="5"/>
        <v>0</v>
      </c>
      <c r="K25" s="70">
        <v>0</v>
      </c>
      <c r="L25" s="5"/>
      <c r="M25" s="38">
        <f t="shared" ref="M25:M27" si="9">IFERROR(J25/$H$2,0)</f>
        <v>0</v>
      </c>
      <c r="N25" s="5"/>
      <c r="O25" s="148"/>
      <c r="R25" s="26"/>
    </row>
    <row r="26" spans="2:21" ht="17.25" customHeight="1">
      <c r="B26" s="203"/>
      <c r="D26" s="4" t="s">
        <v>159</v>
      </c>
      <c r="E26" s="173"/>
      <c r="F26" s="173"/>
      <c r="G26" s="5"/>
      <c r="H26" s="96"/>
      <c r="I26" s="108"/>
      <c r="J26" s="70">
        <f t="shared" si="5"/>
        <v>0</v>
      </c>
      <c r="K26" s="70">
        <v>0</v>
      </c>
      <c r="L26" s="5"/>
      <c r="M26" s="38">
        <f t="shared" si="9"/>
        <v>0</v>
      </c>
      <c r="N26" s="5"/>
      <c r="O26" s="148"/>
      <c r="R26" s="26"/>
    </row>
    <row r="27" spans="2:21" ht="17.25" customHeight="1">
      <c r="B27" s="204"/>
      <c r="C27" s="113"/>
      <c r="D27" s="114" t="s">
        <v>160</v>
      </c>
      <c r="E27" s="174"/>
      <c r="F27" s="174"/>
      <c r="G27" s="116"/>
      <c r="H27" s="144"/>
      <c r="I27" s="145"/>
      <c r="J27" s="146">
        <f t="shared" si="5"/>
        <v>0</v>
      </c>
      <c r="K27" s="146">
        <v>0</v>
      </c>
      <c r="L27" s="116"/>
      <c r="M27" s="119">
        <f t="shared" si="9"/>
        <v>0</v>
      </c>
      <c r="N27" s="116"/>
      <c r="O27" s="149"/>
      <c r="R27" s="26"/>
    </row>
    <row r="28" spans="2:21" ht="7.5" customHeight="1">
      <c r="D28" s="4"/>
      <c r="E28" s="29"/>
      <c r="F28" s="29"/>
      <c r="G28" s="5"/>
      <c r="H28" s="96"/>
      <c r="I28" s="165"/>
      <c r="J28" s="70"/>
      <c r="K28" s="70"/>
      <c r="L28" s="5"/>
      <c r="M28" s="124"/>
      <c r="N28" s="5"/>
      <c r="O28" s="150"/>
      <c r="R28" s="26"/>
    </row>
    <row r="29" spans="2:21" ht="26.25" customHeight="1">
      <c r="B29" s="202" t="s">
        <v>161</v>
      </c>
      <c r="C29" s="100"/>
      <c r="D29" s="101" t="s">
        <v>162</v>
      </c>
      <c r="E29" s="172" t="s">
        <v>67</v>
      </c>
      <c r="F29" s="172" t="s">
        <v>67</v>
      </c>
      <c r="G29" s="103"/>
      <c r="H29" s="142"/>
      <c r="I29" s="105">
        <v>0</v>
      </c>
      <c r="J29" s="143">
        <f t="shared" ref="J29:J37" si="10">IFERROR(H29*I29,0)</f>
        <v>0</v>
      </c>
      <c r="K29" s="143">
        <v>0</v>
      </c>
      <c r="L29" s="103"/>
      <c r="M29" s="106">
        <f t="shared" si="1"/>
        <v>0</v>
      </c>
      <c r="N29" s="103"/>
      <c r="O29" s="147" t="s">
        <v>163</v>
      </c>
      <c r="R29" s="26"/>
    </row>
    <row r="30" spans="2:21" ht="30" customHeight="1">
      <c r="B30" s="203"/>
      <c r="D30" s="4" t="s">
        <v>164</v>
      </c>
      <c r="E30" s="173" t="s">
        <v>67</v>
      </c>
      <c r="F30" s="173" t="s">
        <v>67</v>
      </c>
      <c r="G30" s="5"/>
      <c r="H30" s="96"/>
      <c r="I30" s="108">
        <v>0</v>
      </c>
      <c r="J30" s="70">
        <f>I30*H30</f>
        <v>0</v>
      </c>
      <c r="K30" s="70"/>
      <c r="L30" s="5"/>
      <c r="M30" s="38">
        <f t="shared" si="1"/>
        <v>0</v>
      </c>
      <c r="N30" s="5"/>
      <c r="O30" s="148" t="s">
        <v>163</v>
      </c>
      <c r="R30" s="26"/>
      <c r="S30" s="23"/>
      <c r="T30" s="23"/>
      <c r="U30" s="24"/>
    </row>
    <row r="31" spans="2:21" ht="14.25" customHeight="1">
      <c r="B31" s="203"/>
      <c r="D31" s="4" t="s">
        <v>165</v>
      </c>
      <c r="E31" s="173" t="s">
        <v>67</v>
      </c>
      <c r="F31" s="173" t="s">
        <v>67</v>
      </c>
      <c r="G31" s="5"/>
      <c r="H31" s="96"/>
      <c r="I31" s="108">
        <v>0</v>
      </c>
      <c r="J31" s="70">
        <f t="shared" si="10"/>
        <v>0</v>
      </c>
      <c r="K31" s="70">
        <v>0</v>
      </c>
      <c r="L31" s="5"/>
      <c r="M31" s="38">
        <f t="shared" si="1"/>
        <v>0</v>
      </c>
      <c r="N31" s="5"/>
      <c r="O31" s="148" t="s">
        <v>166</v>
      </c>
      <c r="R31" s="26"/>
    </row>
    <row r="32" spans="2:21" ht="14.25" customHeight="1">
      <c r="B32" s="203"/>
      <c r="D32" s="4" t="s">
        <v>167</v>
      </c>
      <c r="E32" s="173" t="s">
        <v>67</v>
      </c>
      <c r="F32" s="173" t="s">
        <v>67</v>
      </c>
      <c r="G32" s="5"/>
      <c r="H32" s="96"/>
      <c r="I32" s="108">
        <f>I31</f>
        <v>0</v>
      </c>
      <c r="J32" s="70">
        <v>0</v>
      </c>
      <c r="K32" s="70">
        <f>I32*H32</f>
        <v>0</v>
      </c>
      <c r="L32" s="5"/>
      <c r="M32" s="38">
        <f t="shared" si="1"/>
        <v>0</v>
      </c>
      <c r="N32" s="5"/>
      <c r="O32" s="148" t="s">
        <v>166</v>
      </c>
      <c r="R32" s="26"/>
    </row>
    <row r="33" spans="2:18" ht="14.25" customHeight="1">
      <c r="B33" s="203"/>
      <c r="D33" s="4" t="s">
        <v>168</v>
      </c>
      <c r="E33" s="173" t="s">
        <v>67</v>
      </c>
      <c r="F33" s="173" t="s">
        <v>67</v>
      </c>
      <c r="G33" s="5"/>
      <c r="H33" s="96"/>
      <c r="I33" s="108">
        <f>IF(I31&lt;&gt;0,P50-1,0)</f>
        <v>0</v>
      </c>
      <c r="J33" s="70">
        <f t="shared" ref="J33" si="11">IFERROR(H33*I33,0)</f>
        <v>0</v>
      </c>
      <c r="K33" s="70">
        <v>0</v>
      </c>
      <c r="L33" s="5"/>
      <c r="M33" s="38">
        <f t="shared" si="1"/>
        <v>0</v>
      </c>
      <c r="N33" s="5"/>
      <c r="O33" s="148" t="s">
        <v>169</v>
      </c>
      <c r="R33" s="26"/>
    </row>
    <row r="34" spans="2:18" ht="14.25" customHeight="1">
      <c r="B34" s="203"/>
      <c r="D34" s="4" t="s">
        <v>170</v>
      </c>
      <c r="E34" s="173"/>
      <c r="F34" s="173"/>
      <c r="G34" s="5"/>
      <c r="H34" s="96"/>
      <c r="I34" s="108">
        <v>0</v>
      </c>
      <c r="J34" s="70">
        <f t="shared" ref="J34:J36" si="12">IFERROR(H34*I34,0)</f>
        <v>0</v>
      </c>
      <c r="K34" s="70">
        <v>0</v>
      </c>
      <c r="L34" s="5"/>
      <c r="M34" s="182"/>
      <c r="N34" s="5"/>
      <c r="O34" s="148"/>
      <c r="R34" s="26"/>
    </row>
    <row r="35" spans="2:18" ht="14.25" customHeight="1">
      <c r="B35" s="203"/>
      <c r="D35" s="4" t="s">
        <v>171</v>
      </c>
      <c r="E35" s="173"/>
      <c r="F35" s="173"/>
      <c r="G35" s="5"/>
      <c r="H35" s="96"/>
      <c r="I35" s="108">
        <v>0</v>
      </c>
      <c r="J35" s="70">
        <f t="shared" si="12"/>
        <v>0</v>
      </c>
      <c r="K35" s="70">
        <v>0</v>
      </c>
      <c r="L35" s="5"/>
      <c r="M35" s="182"/>
      <c r="N35" s="5"/>
      <c r="O35" s="148"/>
      <c r="R35" s="26"/>
    </row>
    <row r="36" spans="2:18" ht="14.25" customHeight="1">
      <c r="B36" s="203"/>
      <c r="D36" s="4" t="s">
        <v>172</v>
      </c>
      <c r="E36" s="173"/>
      <c r="F36" s="173"/>
      <c r="G36" s="5"/>
      <c r="H36" s="96"/>
      <c r="I36" s="108">
        <v>0</v>
      </c>
      <c r="J36" s="70">
        <f t="shared" si="12"/>
        <v>0</v>
      </c>
      <c r="K36" s="70">
        <v>0</v>
      </c>
      <c r="L36" s="5"/>
      <c r="M36" s="182"/>
      <c r="N36" s="5"/>
      <c r="O36" s="148"/>
      <c r="R36" s="26"/>
    </row>
    <row r="37" spans="2:18" ht="14.25" customHeight="1">
      <c r="B37" s="204"/>
      <c r="C37" s="113"/>
      <c r="D37" s="114" t="s">
        <v>173</v>
      </c>
      <c r="E37" s="123" t="s">
        <v>67</v>
      </c>
      <c r="F37" s="123" t="s">
        <v>67</v>
      </c>
      <c r="G37" s="116"/>
      <c r="H37" s="144"/>
      <c r="I37" s="145">
        <v>0</v>
      </c>
      <c r="J37" s="146">
        <f t="shared" si="10"/>
        <v>0</v>
      </c>
      <c r="K37" s="146">
        <v>0</v>
      </c>
      <c r="L37" s="116"/>
      <c r="M37" s="119">
        <f t="shared" si="1"/>
        <v>0</v>
      </c>
      <c r="N37" s="116"/>
      <c r="O37" s="149" t="s">
        <v>166</v>
      </c>
      <c r="R37" s="26"/>
    </row>
    <row r="38" spans="2:18" ht="7.5" customHeight="1">
      <c r="D38" s="4"/>
      <c r="E38" s="29"/>
      <c r="F38" s="29"/>
      <c r="G38" s="5"/>
      <c r="H38" s="96"/>
      <c r="I38" s="165"/>
      <c r="J38" s="70"/>
      <c r="K38" s="70"/>
      <c r="L38" s="5"/>
      <c r="M38" s="124"/>
      <c r="N38" s="5"/>
      <c r="O38" s="150"/>
      <c r="R38" s="26"/>
    </row>
    <row r="39" spans="2:18" ht="17.25" customHeight="1">
      <c r="B39" s="202" t="s">
        <v>92</v>
      </c>
      <c r="C39" s="100"/>
      <c r="D39" s="101" t="s">
        <v>93</v>
      </c>
      <c r="E39" s="172" t="s">
        <v>67</v>
      </c>
      <c r="F39" s="172" t="s">
        <v>67</v>
      </c>
      <c r="G39" s="103"/>
      <c r="H39" s="142"/>
      <c r="I39" s="105">
        <f>ROUNDUP($H$3/1000,0)</f>
        <v>0</v>
      </c>
      <c r="J39" s="143">
        <f>IFERROR(H39*I39,-1)</f>
        <v>0</v>
      </c>
      <c r="K39" s="143">
        <v>0</v>
      </c>
      <c r="L39" s="103"/>
      <c r="M39" s="106">
        <f t="shared" si="1"/>
        <v>0</v>
      </c>
      <c r="N39" s="103"/>
      <c r="O39" s="147" t="s">
        <v>174</v>
      </c>
      <c r="R39" s="26"/>
    </row>
    <row r="40" spans="2:18" ht="17.25" customHeight="1">
      <c r="B40" s="203"/>
      <c r="D40" s="4" t="s">
        <v>94</v>
      </c>
      <c r="E40" s="173" t="s">
        <v>67</v>
      </c>
      <c r="F40" s="173" t="s">
        <v>67</v>
      </c>
      <c r="G40" s="5"/>
      <c r="H40" s="96"/>
      <c r="I40" s="108">
        <f>I22</f>
        <v>0</v>
      </c>
      <c r="J40" s="70">
        <f t="shared" ref="J40" si="13">IFERROR(H40*I40,0)</f>
        <v>0</v>
      </c>
      <c r="K40" s="70">
        <v>0</v>
      </c>
      <c r="L40" s="5"/>
      <c r="M40" s="38">
        <f t="shared" si="1"/>
        <v>0</v>
      </c>
      <c r="N40" s="5"/>
      <c r="O40" s="148" t="s">
        <v>175</v>
      </c>
      <c r="P40" s="1" t="s">
        <v>95</v>
      </c>
      <c r="R40" s="26"/>
    </row>
    <row r="41" spans="2:18" ht="17.25" customHeight="1">
      <c r="B41" s="203"/>
      <c r="D41" s="4" t="s">
        <v>98</v>
      </c>
      <c r="E41" s="173" t="s">
        <v>67</v>
      </c>
      <c r="F41" s="173" t="s">
        <v>67</v>
      </c>
      <c r="G41" s="5"/>
      <c r="H41" s="96"/>
      <c r="I41" s="108">
        <v>2</v>
      </c>
      <c r="J41" s="70">
        <f>IFERROR(H41*I41,0)</f>
        <v>0</v>
      </c>
      <c r="K41" s="70">
        <v>0</v>
      </c>
      <c r="L41" s="5"/>
      <c r="M41" s="38">
        <f t="shared" si="1"/>
        <v>0</v>
      </c>
      <c r="N41" s="5"/>
      <c r="O41" s="148" t="s">
        <v>176</v>
      </c>
      <c r="P41" s="1" t="s">
        <v>97</v>
      </c>
      <c r="R41" s="26"/>
    </row>
    <row r="42" spans="2:18" ht="26.25" customHeight="1">
      <c r="B42" s="203"/>
      <c r="D42" s="4" t="s">
        <v>177</v>
      </c>
      <c r="E42" s="173" t="s">
        <v>67</v>
      </c>
      <c r="F42" s="173" t="s">
        <v>67</v>
      </c>
      <c r="G42" s="5"/>
      <c r="H42" s="96"/>
      <c r="I42" s="108">
        <v>0</v>
      </c>
      <c r="J42" s="70">
        <f>IFERROR(H42*I42,0)</f>
        <v>0</v>
      </c>
      <c r="K42" s="70">
        <v>0</v>
      </c>
      <c r="L42" s="5"/>
      <c r="M42" s="38">
        <f t="shared" ref="M42" si="14">IFERROR(J42/$H$2,0)</f>
        <v>0</v>
      </c>
      <c r="N42" s="5"/>
      <c r="O42" s="148" t="s">
        <v>178</v>
      </c>
      <c r="R42" s="26"/>
    </row>
    <row r="43" spans="2:18" ht="7.5" customHeight="1">
      <c r="B43" s="203"/>
      <c r="D43" s="4"/>
      <c r="E43" s="29"/>
      <c r="F43" s="29"/>
      <c r="G43" s="5"/>
      <c r="H43" s="96"/>
      <c r="I43" s="165"/>
      <c r="J43" s="70"/>
      <c r="K43" s="70"/>
      <c r="L43" s="5"/>
      <c r="M43" s="39"/>
      <c r="N43" s="5"/>
      <c r="O43" s="148"/>
      <c r="R43" s="26"/>
    </row>
    <row r="44" spans="2:18" ht="17.25" customHeight="1">
      <c r="B44" s="203"/>
      <c r="D44" s="4" t="s">
        <v>179</v>
      </c>
      <c r="E44" s="173" t="s">
        <v>67</v>
      </c>
      <c r="F44" s="173" t="s">
        <v>67</v>
      </c>
      <c r="G44" s="5"/>
      <c r="H44" s="96"/>
      <c r="I44" s="108">
        <v>12</v>
      </c>
      <c r="J44" s="70">
        <v>0</v>
      </c>
      <c r="K44" s="70">
        <f>H44*I44</f>
        <v>0</v>
      </c>
      <c r="L44" s="5"/>
      <c r="M44" s="38">
        <f t="shared" si="1"/>
        <v>0</v>
      </c>
      <c r="N44" s="5"/>
      <c r="O44" s="148" t="s">
        <v>180</v>
      </c>
      <c r="R44" s="26"/>
    </row>
    <row r="45" spans="2:18" ht="17.25" customHeight="1">
      <c r="B45" s="204"/>
      <c r="C45" s="113"/>
      <c r="D45" s="114" t="s">
        <v>181</v>
      </c>
      <c r="E45" s="123"/>
      <c r="F45" s="123"/>
      <c r="G45" s="116"/>
      <c r="H45" s="144"/>
      <c r="I45" s="145">
        <v>1</v>
      </c>
      <c r="J45" s="146">
        <v>0</v>
      </c>
      <c r="K45" s="146">
        <f>H45*I45</f>
        <v>0</v>
      </c>
      <c r="L45" s="116"/>
      <c r="M45" s="119">
        <f t="shared" si="1"/>
        <v>0</v>
      </c>
      <c r="N45" s="116"/>
      <c r="O45" s="149" t="s">
        <v>182</v>
      </c>
      <c r="R45" s="26"/>
    </row>
    <row r="46" spans="2:18" ht="15" customHeight="1" collapsed="1">
      <c r="D46" s="4"/>
      <c r="E46" s="4"/>
      <c r="F46" s="4"/>
      <c r="G46" s="4"/>
      <c r="H46" s="4"/>
      <c r="I46" s="6"/>
      <c r="J46" s="70"/>
      <c r="K46" s="70"/>
      <c r="L46" s="5"/>
      <c r="M46" s="121"/>
      <c r="N46" s="5"/>
      <c r="O46" s="150"/>
      <c r="R46" s="26"/>
    </row>
    <row r="47" spans="2:18" ht="15" customHeight="1" collapsed="1">
      <c r="B47" s="11"/>
      <c r="C47" s="11"/>
      <c r="D47" s="12"/>
      <c r="E47" s="12"/>
      <c r="F47" s="12"/>
      <c r="G47" s="12"/>
      <c r="H47" s="12"/>
      <c r="I47" s="14"/>
      <c r="J47" s="71"/>
      <c r="K47" s="71"/>
      <c r="L47" s="5"/>
      <c r="M47" s="39"/>
      <c r="N47" s="5"/>
      <c r="R47" s="26"/>
    </row>
    <row r="48" spans="2:18" ht="15.75" customHeight="1">
      <c r="B48" s="205" t="s">
        <v>101</v>
      </c>
      <c r="D48" s="4" t="s">
        <v>183</v>
      </c>
      <c r="E48" s="29"/>
      <c r="F48" s="29"/>
      <c r="G48" s="5"/>
      <c r="H48" s="17"/>
      <c r="I48" s="6"/>
      <c r="J48" s="70">
        <f>SUM(J6:J20)*(1+I52)</f>
        <v>0</v>
      </c>
      <c r="K48" s="70">
        <f>SUM(K6:K20)</f>
        <v>0</v>
      </c>
      <c r="L48" s="5"/>
      <c r="M48" s="38">
        <f t="shared" si="1"/>
        <v>0</v>
      </c>
      <c r="N48" s="5"/>
      <c r="R48" s="26"/>
    </row>
    <row r="49" spans="2:18" ht="15.75" customHeight="1" thickBot="1">
      <c r="B49" s="205"/>
      <c r="D49" s="4" t="s">
        <v>184</v>
      </c>
      <c r="E49" s="29"/>
      <c r="F49" s="29"/>
      <c r="G49" s="5"/>
      <c r="H49" s="17"/>
      <c r="I49" s="6"/>
      <c r="J49" s="70">
        <f>SUM(J22:J27)*(1+I52)</f>
        <v>0</v>
      </c>
      <c r="K49" s="70">
        <f>SUM(K22:K27)</f>
        <v>0</v>
      </c>
      <c r="L49" s="5"/>
      <c r="M49" s="38">
        <f t="shared" si="1"/>
        <v>0</v>
      </c>
      <c r="N49" s="5"/>
      <c r="R49" s="26"/>
    </row>
    <row r="50" spans="2:18" ht="15.75" customHeight="1" thickBot="1">
      <c r="B50" s="205"/>
      <c r="D50" s="4" t="s">
        <v>185</v>
      </c>
      <c r="E50" s="29"/>
      <c r="F50" s="29"/>
      <c r="G50" s="5"/>
      <c r="H50" s="17"/>
      <c r="I50" s="6"/>
      <c r="J50" s="70">
        <f>SUM(J29:J37)*(1+I52)</f>
        <v>0</v>
      </c>
      <c r="K50" s="70">
        <f t="shared" ref="K50" si="15">SUM(K29:K37)</f>
        <v>0</v>
      </c>
      <c r="L50" s="5"/>
      <c r="M50" s="38">
        <f t="shared" si="1"/>
        <v>0</v>
      </c>
      <c r="N50" s="5"/>
      <c r="O50" s="152" t="s">
        <v>186</v>
      </c>
      <c r="P50" s="53"/>
      <c r="Q50" s="63" t="s">
        <v>187</v>
      </c>
      <c r="R50" s="26"/>
    </row>
    <row r="51" spans="2:18" ht="15.75" customHeight="1" thickBot="1">
      <c r="B51" s="205"/>
      <c r="D51" s="4" t="s">
        <v>188</v>
      </c>
      <c r="E51" s="29"/>
      <c r="F51" s="29"/>
      <c r="G51" s="5"/>
      <c r="H51" s="17"/>
      <c r="I51" s="6"/>
      <c r="J51" s="70">
        <f>SUM(J39:J45)</f>
        <v>0</v>
      </c>
      <c r="K51" s="70">
        <f>SUM(K39:K45)</f>
        <v>0</v>
      </c>
      <c r="L51" s="5"/>
      <c r="M51" s="38">
        <f t="shared" si="1"/>
        <v>0</v>
      </c>
      <c r="N51" s="5"/>
      <c r="O51" s="152" t="s">
        <v>189</v>
      </c>
      <c r="P51" s="54"/>
      <c r="Q51" s="63" t="s">
        <v>190</v>
      </c>
      <c r="R51" s="26"/>
    </row>
    <row r="52" spans="2:18" s="125" customFormat="1" ht="15.75" customHeight="1" thickBot="1">
      <c r="B52" s="205"/>
      <c r="D52" s="52" t="s">
        <v>105</v>
      </c>
      <c r="E52" s="29"/>
      <c r="F52" s="29"/>
      <c r="H52" s="201"/>
      <c r="I52" s="201"/>
      <c r="J52" s="72">
        <f>SUM(J48:J51)</f>
        <v>0</v>
      </c>
      <c r="K52" s="72">
        <f>SUM(K6:K45)</f>
        <v>0</v>
      </c>
      <c r="M52" s="166"/>
      <c r="O52" s="151"/>
      <c r="P52" s="1"/>
      <c r="Q52" s="1"/>
      <c r="R52" s="26"/>
    </row>
    <row r="53" spans="2:18" ht="15.75" customHeight="1" thickBot="1">
      <c r="B53" s="205"/>
      <c r="D53" s="4" t="s">
        <v>106</v>
      </c>
      <c r="E53" s="29"/>
      <c r="F53" s="29"/>
      <c r="G53" s="5"/>
      <c r="H53" s="9"/>
      <c r="I53" s="6"/>
      <c r="J53" s="70">
        <f>SUM(J48:J50)*H53</f>
        <v>0</v>
      </c>
      <c r="K53" s="70">
        <v>0</v>
      </c>
      <c r="L53" s="5"/>
      <c r="M53" s="38">
        <f t="shared" si="1"/>
        <v>0</v>
      </c>
      <c r="N53" s="5"/>
      <c r="O53" s="152" t="s">
        <v>106</v>
      </c>
      <c r="P53" s="50"/>
      <c r="Q53" s="63" t="s">
        <v>191</v>
      </c>
      <c r="R53" s="26"/>
    </row>
    <row r="54" spans="2:18" ht="15.75" customHeight="1" thickBot="1">
      <c r="B54" s="205"/>
      <c r="D54" s="4" t="s">
        <v>107</v>
      </c>
      <c r="E54" s="29"/>
      <c r="F54" s="29"/>
      <c r="G54" s="5"/>
      <c r="H54" s="9"/>
      <c r="I54" s="6"/>
      <c r="J54" s="70">
        <f>(J52-J39-J41)*H54</f>
        <v>0</v>
      </c>
      <c r="K54" s="70">
        <v>0</v>
      </c>
      <c r="L54" s="5"/>
      <c r="M54" s="38">
        <f t="shared" si="1"/>
        <v>0</v>
      </c>
      <c r="N54" s="5"/>
      <c r="O54" s="152" t="s">
        <v>108</v>
      </c>
      <c r="P54" s="50"/>
      <c r="Q54" s="63" t="s">
        <v>192</v>
      </c>
      <c r="R54" s="26"/>
    </row>
    <row r="55" spans="2:18" ht="15.75" customHeight="1">
      <c r="B55" s="205"/>
      <c r="D55" s="4" t="s">
        <v>109</v>
      </c>
      <c r="E55" s="29"/>
      <c r="F55" s="29"/>
      <c r="G55" s="5"/>
      <c r="H55" s="9"/>
      <c r="I55" s="6"/>
      <c r="J55" s="70">
        <f>J52*H55</f>
        <v>0</v>
      </c>
      <c r="K55" s="70">
        <f>SUM(K48:K51)*H55</f>
        <v>0</v>
      </c>
      <c r="L55" s="5"/>
      <c r="M55" s="38">
        <f t="shared" si="1"/>
        <v>0</v>
      </c>
      <c r="N55" s="5"/>
      <c r="O55" s="152" t="s">
        <v>109</v>
      </c>
      <c r="P55" s="82"/>
      <c r="Q55" s="63" t="s">
        <v>193</v>
      </c>
      <c r="R55" s="26"/>
    </row>
    <row r="56" spans="2:18" s="125" customFormat="1" ht="15.75" customHeight="1">
      <c r="B56" s="205"/>
      <c r="D56" s="52" t="s">
        <v>15</v>
      </c>
      <c r="E56" s="29"/>
      <c r="F56" s="29"/>
      <c r="H56" s="201"/>
      <c r="I56" s="201"/>
      <c r="J56" s="72">
        <f>SUM(J52:J55)</f>
        <v>0</v>
      </c>
      <c r="K56" s="72">
        <f>SUM(K52:K55)</f>
        <v>0</v>
      </c>
      <c r="L56" s="5"/>
      <c r="M56" s="51">
        <f t="shared" si="1"/>
        <v>0</v>
      </c>
      <c r="N56" s="5"/>
      <c r="O56" s="167"/>
      <c r="R56" s="26"/>
    </row>
    <row r="57" spans="2:18" s="153" customFormat="1" ht="6" customHeight="1">
      <c r="E57" s="29"/>
      <c r="F57" s="29"/>
      <c r="H57" s="168"/>
      <c r="I57" s="168"/>
      <c r="J57" s="169"/>
      <c r="M57" s="22"/>
      <c r="O57" s="170"/>
    </row>
    <row r="58" spans="2:18" s="153" customFormat="1">
      <c r="E58" s="29"/>
      <c r="F58" s="29"/>
      <c r="K58" s="169"/>
      <c r="L58" s="168"/>
      <c r="M58" s="22"/>
      <c r="O58" s="170"/>
    </row>
    <row r="59" spans="2:18">
      <c r="E59" s="29"/>
      <c r="F59" s="29"/>
      <c r="H59" s="27"/>
      <c r="I59" s="27"/>
      <c r="J59" s="169"/>
    </row>
    <row r="60" spans="2:18">
      <c r="E60" s="29"/>
      <c r="F60" s="29"/>
      <c r="J60" s="171"/>
      <c r="K60" s="171"/>
    </row>
    <row r="61" spans="2:18">
      <c r="E61" s="29"/>
      <c r="F61" s="29"/>
      <c r="J61" s="171"/>
    </row>
    <row r="62" spans="2:18">
      <c r="E62" s="29"/>
      <c r="F62" s="29"/>
    </row>
    <row r="64" spans="2:18">
      <c r="J64" s="26"/>
    </row>
  </sheetData>
  <mergeCells count="10">
    <mergeCell ref="B39:B45"/>
    <mergeCell ref="B48:B56"/>
    <mergeCell ref="H2:K2"/>
    <mergeCell ref="H3:K3"/>
    <mergeCell ref="B22:B27"/>
    <mergeCell ref="B29:B37"/>
    <mergeCell ref="B16:B20"/>
    <mergeCell ref="B6:B14"/>
    <mergeCell ref="H56:I56"/>
    <mergeCell ref="H52:I52"/>
  </mergeCells>
  <conditionalFormatting sqref="M6:M45">
    <cfRule type="colorScale" priority="38">
      <colorScale>
        <cfvo type="min"/>
        <cfvo type="max"/>
        <color theme="0"/>
        <color theme="7"/>
      </colorScale>
    </cfRule>
  </conditionalFormatting>
  <conditionalFormatting sqref="M48:M51">
    <cfRule type="colorScale" priority="2">
      <colorScale>
        <cfvo type="min"/>
        <cfvo type="max"/>
        <color theme="0"/>
        <color theme="5" tint="0.39997558519241921"/>
      </colorScale>
    </cfRule>
  </conditionalFormatting>
  <conditionalFormatting sqref="M53:M55">
    <cfRule type="colorScale" priority="1">
      <colorScale>
        <cfvo type="min"/>
        <cfvo type="max"/>
        <color theme="0"/>
        <color theme="5" tint="0.39997558519241921"/>
      </colorScale>
    </cfRule>
  </conditionalFormatting>
  <pageMargins left="0.7" right="0.7" top="0.75" bottom="0.75" header="0.3" footer="0.3"/>
  <pageSetup paperSize="9" orientation="portrait" r:id="rId1"/>
  <ignoredErrors>
    <ignoredError sqref="J50" formula="1"/>
  </ignoredError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6ce548d7-f396-441b-bda6-61c2131de725" xsi:nil="true"/>
    <lcf76f155ced4ddcb4097134ff3c332f xmlns="d18c1450-87e9-45f9-8fe5-6ea87d815bdf">
      <Terms xmlns="http://schemas.microsoft.com/office/infopath/2007/PartnerControls"/>
    </lcf76f155ced4ddcb4097134ff3c332f>
  </documentManagement>
</p:properties>
</file>

<file path=customXml/item2.xml>�� 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1AE51EC6F501E4285B07B1B5F58CB8D" ma:contentTypeVersion="13" ma:contentTypeDescription="Create a new document." ma:contentTypeScope="" ma:versionID="89a1e8ff658d97a0c0e3b912adac139f">
  <xsd:schema xmlns:xsd="http://www.w3.org/2001/XMLSchema" xmlns:xs="http://www.w3.org/2001/XMLSchema" xmlns:p="http://schemas.microsoft.com/office/2006/metadata/properties" xmlns:ns2="d18c1450-87e9-45f9-8fe5-6ea87d815bdf" xmlns:ns3="6ce548d7-f396-441b-bda6-61c2131de725" targetNamespace="http://schemas.microsoft.com/office/2006/metadata/properties" ma:root="true" ma:fieldsID="3b2c8c1097133df89e5078b440ee6f32" ns2:_="" ns3:_="">
    <xsd:import namespace="d18c1450-87e9-45f9-8fe5-6ea87d815bdf"/>
    <xsd:import namespace="6ce548d7-f396-441b-bda6-61c2131de72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Locatio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18c1450-87e9-45f9-8fe5-6ea87d815bd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9626e311-685f-474e-8a3d-97dbf950bc7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9" nillable="true" ma:displayName="Location" ma:indexed="true" ma:internalName="MediaServiceLocatio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ce548d7-f396-441b-bda6-61c2131de725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2d956517-7bb7-4be0-b4c8-5625a24427d3}" ma:internalName="TaxCatchAll" ma:showField="CatchAllData" ma:web="6ce548d7-f396-441b-bda6-61c2131de72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6B1D0A3F-1F5A-465E-BEC9-3D93F5727838}"/>
</file>

<file path=customXml/itemProps2.xml><?xml version="1.0" encoding="utf-8"?>
<ds:datastoreItem xmlns:ds="http://schemas.openxmlformats.org/officeDocument/2006/customXml" ds:itemID="{A12EB3CB-461A-4330-A054-FF3397E17505}"/>
</file>

<file path=customXml/itemProps3.xml><?xml version="1.0" encoding="utf-8"?>
<ds:datastoreItem xmlns:ds="http://schemas.openxmlformats.org/officeDocument/2006/customXml" ds:itemID="{4AE1C754-55BF-4F79-9AB2-B843FAE012F6}"/>
</file>

<file path=customXml/itemProps4.xml><?xml version="1.0" encoding="utf-8"?>
<ds:datastoreItem xmlns:ds="http://schemas.openxmlformats.org/officeDocument/2006/customXml" ds:itemID="{0C2CF822-70E3-4979-9B58-BC155920C738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Tomas Dvorak</dc:creator>
  <cp:keywords/>
  <dc:description/>
  <cp:lastModifiedBy/>
  <cp:revision/>
  <dcterms:created xsi:type="dcterms:W3CDTF">2020-09-10T16:02:18Z</dcterms:created>
  <dcterms:modified xsi:type="dcterms:W3CDTF">2026-02-23T02:44:47Z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0x01010031AE51EC6F501E4285B07B1B5F58CB8D</vt:lpwstr>
  </property>
  <property fmtid="{D5CDD505-2E9C-101B-9397-08002B2CF9AE}" pid="3" name="_dlc_DocIdItemGuid">
    <vt:lpwstr>3bcd1e68-e5b2-42f7-be29-3ceee68306bd</vt:lpwstr>
  </property>
  <property fmtid="{D5CDD505-2E9C-101B-9397-08002B2CF9AE}" pid="4" name="MediaServiceImageTags">
    <vt:lpwstr/>
  </property>
</Properties>
</file>